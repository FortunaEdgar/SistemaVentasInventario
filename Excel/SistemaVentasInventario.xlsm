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drawings/drawing3.xml" ContentType="application/vnd.openxmlformats-officedocument.drawing+xml"/>
  <Override PartName="/xl/worksheets/sheet3.xml" ContentType="application/vnd.openxmlformats-officedocument.spreadsheetml.worksheet+xml"/>
  <Override PartName="/xl/drawings/drawing4.xml" ContentType="application/vnd.openxmlformats-officedocument.drawing+xml"/>
  <Override PartName="/xl/worksheets/sheet4.xml" ContentType="application/vnd.openxmlformats-officedocument.spreadsheetml.worksheet+xml"/>
  <Override PartName="/xl/drawings/drawing5.xml" ContentType="application/vnd.openxmlformats-officedocument.drawing+xml"/>
  <Override PartName="/xl/worksheets/sheet5.xml" ContentType="application/vnd.openxmlformats-officedocument.spreadsheetml.workshee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drawings/drawing7.xml" ContentType="application/vnd.openxmlformats-officedocument.drawing+xml"/>
  <Override PartName="/xl/worksheets/sheet7.xml" ContentType="application/vnd.openxmlformats-officedocument.spreadsheetml.worksheet+xml"/>
  <Override PartName="/xl/drawings/drawing8.xml" ContentType="application/vnd.openxmlformats-officedocument.drawing+xml"/>
  <Override PartName="/xl/worksheets/sheet8.xml" ContentType="application/vnd.openxmlformats-officedocument.spreadsheetml.worksheet+xml"/>
  <Override PartName="/xl/drawings/drawing9.xml" ContentType="application/vnd.openxmlformats-officedocument.drawing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xr:revisionPtr revIDLastSave="0" documentId="13_ncr:1_{B8E1E21B-A48E-4242-8769-803AF658A778}" xr6:coauthVersionLast="47" xr6:coauthVersionMax="47" xr10:uidLastSave="{00000000-0000-0000-0000-000000000000}"/>
  <bookViews>
    <workbookView xWindow="-110" yWindow="-110" windowWidth="25820" windowHeight="13900" activeTab="0" xr2:uid="{DBD0A1E1-C6D6-4B1E-B562-62FE745E23C5}"/>
  </bookViews>
  <sheets>
    <sheet name="Menú" sheetId="7" r:id="rId1"/>
    <sheet name="Nueva Venta" sheetId="6" r:id="rId2"/>
    <sheet name="Factura" sheetId="8" r:id="rId3"/>
    <sheet name="Historial" sheetId="9" r:id="rId4"/>
    <sheet name="Reportes" sheetId="10" r:id="rId5"/>
    <sheet name="Clientes" sheetId="2" r:id="rId6"/>
    <sheet name="Productos" sheetId="3" r:id="rId7"/>
    <sheet name="Ventas" sheetId="4" r:id="rId8"/>
    <sheet name="Detalle Venta" sheetId="5" r:id="rId9"/>
  </sheets>
  <definedNames>
    <definedName name="DatosExternos_1" localSheetId="5" hidden="1">Clientes!$A$1:$D$6</definedName>
    <definedName name="DatosExternos_1" localSheetId="6" hidden="1">Productos!$A$1:$E$9</definedName>
    <definedName name="DatosExternos_1" localSheetId="7" hidden="1">Ventas!$A$1:$G$7</definedName>
    <definedName name="DatosExternos_2" localSheetId="8" hidden="1">'Detalle Venta'!$A$1:$F$12</definedName>
    <definedName name="ListaClientes">clientes[nombre]</definedName>
    <definedName name="ListaProductos">Productos[nombre]</definedName>
    <definedName name="NegocioDireccion">'Menú'!$D$27</definedName>
    <definedName name="NegocioNombre">'Menú'!$D$25</definedName>
    <definedName name="NegocioRNC">'Menú'!$D$26</definedName>
    <definedName name="NegocioTelefono">'Menú'!$D$28</definedName>
    <definedName name="_xlnm.Print_Area" localSheetId="2">Factura!$A$1:$E$39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27EF52-CF5B-4035-B7C4-7D745EACCF11}" keepAlive="1" name="Consulta - clientes" description="Conexión a la consulta 'clientes' en el libro." type="5" refreshedVersion="8" background="1" saveData="1">
    <dbPr connection="Provider=Microsoft.Mashup.OleDb.1;Data Source=$Workbook$;Location=clientes;Extended Properties=&quot;&quot;" command="SELECT * FROM [clientes]"/>
  </connection>
  <connection id="2" xr16:uid="{0757F14B-9618-4DB6-9161-E5D3F5C819F0}" keepAlive="1" name="Consulta - detalle_venta" description="Conexión a la consulta 'detalle_venta' en el libro." type="5" refreshedVersion="8" background="1" saveData="1">
    <dbPr connection="Provider=Microsoft.Mashup.OleDb.1;Data Source=$Workbook$;Location=detalle_venta;Extended Properties=&quot;&quot;" command="SELECT * FROM [detalle_venta]"/>
  </connection>
  <connection id="3" xr16:uid="{75E7ECB2-9062-4020-AA18-E22C76303BF8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4" xr16:uid="{85834555-1870-427C-87DA-336909353F48}" keepAlive="1" name="Consulta - ventas" description="Conexión a la consulta 'ventas' en el libro." type="5" refreshedVersion="8" background="1" saveData="1">
    <dbPr connection="Provider=Microsoft.Mashup.OleDb.1;Data Source=$Workbook$;Location=ventas;Extended Properties=&quot;&quot;" command="SELECT * FROM [ventas]"/>
  </connection>
</connections>
</file>

<file path=xl/sharedStrings.xml><?xml version="1.0" encoding="utf-8"?>
<sst xmlns="http://schemas.openxmlformats.org/spreadsheetml/2006/main" count="139" uniqueCount="139">
  <si>
    <t xml:space="preserve">SISTEMA DE VENTAS E INVENTARIO</t>
  </si>
  <si>
    <t xml:space="preserve">Facturación e inventario con PostgreSQL + Excel VBA</t>
  </si>
  <si>
    <t xml:space="preserve">RESUMEN</t>
  </si>
  <si>
    <t xml:space="preserve">CLIENTES REGISTRADOS</t>
  </si>
  <si>
    <t xml:space="preserve">PRODUCTOS EN CATÁLOGO</t>
  </si>
  <si>
    <t xml:space="preserve">PRODUCTOS CON STOCK BAJO (≤ 5)</t>
  </si>
  <si>
    <t xml:space="preserve">VENTAS DE HOY</t>
  </si>
  <si>
    <t xml:space="preserve">TOTAL VENDIDO HOY</t>
  </si>
  <si>
    <t xml:space="preserve">TOTAL VENDIDO ESTE MES</t>
  </si>
  <si>
    <t xml:space="preserve">Última actualización: 27/09/2026 23:43</t>
  </si>
  <si>
    <t xml:space="preserve">DATOS DEL NEGOCIO (aparecen en la factura)</t>
  </si>
  <si>
    <t xml:space="preserve">Nombre del negocio</t>
  </si>
  <si>
    <t xml:space="preserve">Mi Negocio, S.R.L.</t>
  </si>
  <si>
    <t xml:space="preserve">RNC</t>
  </si>
  <si>
    <t xml:space="preserve">000-00000-0</t>
  </si>
  <si>
    <t xml:space="preserve">Dirección</t>
  </si>
  <si>
    <t xml:space="preserve">La Romana, República Dominicana</t>
  </si>
  <si>
    <t xml:space="preserve">Teléfono</t>
  </si>
  <si>
    <t xml:space="preserve">809-000-0000</t>
  </si>
  <si>
    <t xml:space="preserve">Cómo usar: 1) Registre clientes y productos.  2) Cree la venta en "Nueva Venta" y presione "Registrar venta".  3) La factura se genera automáticamente y puede guardarla en PDF.  Las celdas amarillas son para escribir; el resto se calcula solo.</t>
  </si>
  <si>
    <t xml:space="preserve">NUEVA VENTA</t>
  </si>
  <si>
    <t xml:space="preserve">Fecha:</t>
  </si>
  <si>
    <t xml:space="preserve">Cliente</t>
  </si>
  <si>
    <t xml:space="preserve">Seleccione de la lista</t>
  </si>
  <si>
    <t xml:space="preserve">Subtotal sin ITBIS</t>
  </si>
  <si>
    <t xml:space="preserve">ITBIS incluido (18%)</t>
  </si>
  <si>
    <t xml:space="preserve">Producto</t>
  </si>
  <si>
    <t xml:space="preserve">Cantidad</t>
  </si>
  <si>
    <t xml:space="preserve">Precio</t>
  </si>
  <si>
    <t xml:space="preserve">Subtotal</t>
  </si>
  <si>
    <t xml:space="preserve">Stock disponible</t>
  </si>
  <si>
    <t xml:space="preserve">ID</t>
  </si>
  <si>
    <t xml:space="preserve">TOTAL</t>
  </si>
  <si>
    <t xml:space="preserve">ID Cliente</t>
  </si>
  <si>
    <t xml:space="preserve">Productos</t>
  </si>
  <si>
    <t xml:space="preserve">Los precios ya incluyen el ITBIS (18 %); abajo a la derecha se muestra el desglose. El precio y el stock se toman del catálogo de productos. Al registrar la venta, PostgreSQL valida el stock, descuenta el inventario y calcula el ITBIS en una sola transacción: si algo falla, no se guarda nada.</t>
  </si>
  <si>
    <t xml:space="preserve">FACTURA</t>
  </si>
  <si>
    <t xml:space="preserve">No.:</t>
  </si>
  <si>
    <t xml:space="preserve">FAC-000005</t>
  </si>
  <si>
    <t xml:space="preserve">Estado:</t>
  </si>
  <si>
    <t xml:space="preserve">EMITIDA</t>
  </si>
  <si>
    <t xml:space="preserve">FACTURAR A</t>
  </si>
  <si>
    <t xml:space="preserve">Cliente:</t>
  </si>
  <si>
    <t xml:space="preserve">Hector Yan</t>
  </si>
  <si>
    <t xml:space="preserve">Teléfono:</t>
  </si>
  <si>
    <t xml:space="preserve">829-555-3410</t>
  </si>
  <si>
    <t xml:space="preserve">Correo:</t>
  </si>
  <si>
    <t xml:space="preserve">Código</t>
  </si>
  <si>
    <t xml:space="preserve">Descripción</t>
  </si>
  <si>
    <t xml:space="preserve">Cant.</t>
  </si>
  <si>
    <t xml:space="preserve">Importe</t>
  </si>
  <si>
    <t xml:space="preserve">Disco SSD 500GB</t>
  </si>
  <si>
    <t xml:space="preserve">Teclado Logitech</t>
  </si>
  <si>
    <t xml:space="preserve">ITBIS (18%)</t>
  </si>
  <si>
    <t xml:space="preserve">¡Gracias por su compra!</t>
  </si>
  <si>
    <t xml:space="preserve">Montos en pesos dominicanos (RD$). Los precios incluyen ITBIS (18 %).</t>
  </si>
  <si>
    <t xml:space="preserve">HISTORIAL DE VENTAS</t>
  </si>
  <si>
    <t xml:space="preserve">Desde:</t>
  </si>
  <si>
    <t xml:space="preserve">Hasta:</t>
  </si>
  <si>
    <t xml:space="preserve">(filtros opcionales)</t>
  </si>
  <si>
    <t xml:space="preserve">No.</t>
  </si>
  <si>
    <t xml:space="preserve">Factura</t>
  </si>
  <si>
    <t xml:space="preserve">Fecha</t>
  </si>
  <si>
    <t xml:space="preserve">Artículos</t>
  </si>
  <si>
    <t xml:space="preserve">ITBIS</t>
  </si>
  <si>
    <t xml:space="preserve">Total</t>
  </si>
  <si>
    <t xml:space="preserve">Estado</t>
  </si>
  <si>
    <t xml:space="preserve">FAC-000006</t>
  </si>
  <si>
    <t xml:space="preserve">Consumidor Final</t>
  </si>
  <si>
    <t xml:space="preserve">ANULADA</t>
  </si>
  <si>
    <t xml:space="preserve">FAC-000004</t>
  </si>
  <si>
    <t xml:space="preserve">FAC-000003</t>
  </si>
  <si>
    <t xml:space="preserve">Maria Rodriguez</t>
  </si>
  <si>
    <t xml:space="preserve">FAC-000002</t>
  </si>
  <si>
    <t xml:space="preserve">Carlos Pérez</t>
  </si>
  <si>
    <t xml:space="preserve">FAC-000001</t>
  </si>
  <si>
    <t xml:space="preserve">Edgar Fortuna</t>
  </si>
  <si>
    <t xml:space="preserve">Seleccione una fila de la tabla y presione "Ver factura" o "Anular venta". Deje los filtros vacíos para ver todas las ventas.</t>
  </si>
  <si>
    <t xml:space="preserve">REPORTES</t>
  </si>
  <si>
    <t xml:space="preserve">Generado: 27/09/2026 23:43</t>
  </si>
  <si>
    <t xml:space="preserve">Ventas</t>
  </si>
  <si>
    <t xml:space="preserve">Total vendido</t>
  </si>
  <si>
    <t xml:space="preserve">Ticket promedio</t>
  </si>
  <si>
    <t xml:space="preserve">Ventas anuladas</t>
  </si>
  <si>
    <t xml:space="preserve">VENTAS POR DÍA</t>
  </si>
  <si>
    <t xml:space="preserve">PRODUCTOS MÁS VENDIDOS</t>
  </si>
  <si>
    <t xml:space="preserve">STOCK BAJO (≤ 5 unidades)</t>
  </si>
  <si>
    <t xml:space="preserve">ÚLTIMOS MOVIMIENTOS DE INVENTARIO</t>
  </si>
  <si>
    <t xml:space="preserve">Ingresos</t>
  </si>
  <si>
    <t xml:space="preserve">Categoría</t>
  </si>
  <si>
    <t xml:space="preserve">Stock</t>
  </si>
  <si>
    <t xml:space="preserve">Tipo</t>
  </si>
  <si>
    <t xml:space="preserve">Referencia</t>
  </si>
  <si>
    <t xml:space="preserve">Memoria USB 64GB</t>
  </si>
  <si>
    <t xml:space="preserve">Cable HDMI 2m</t>
  </si>
  <si>
    <t xml:space="preserve">Accesorios</t>
  </si>
  <si>
    <t xml:space="preserve">Webcam HD</t>
  </si>
  <si>
    <t xml:space="preserve">ANULACION</t>
  </si>
  <si>
    <t xml:space="preserve">Anulacion FAC-000006</t>
  </si>
  <si>
    <t xml:space="preserve">SALIDA</t>
  </si>
  <si>
    <t xml:space="preserve">Venta FAC-000006</t>
  </si>
  <si>
    <t xml:space="preserve">Audifonos Bluetooth</t>
  </si>
  <si>
    <t xml:space="preserve">Venta FAC-000005</t>
  </si>
  <si>
    <t xml:space="preserve">Mouse inalámbrico</t>
  </si>
  <si>
    <t xml:space="preserve">Monitor 24 pulgadas</t>
  </si>
  <si>
    <t xml:space="preserve">Venta FAC-000004</t>
  </si>
  <si>
    <t xml:space="preserve">Venta FAC-000003</t>
  </si>
  <si>
    <t xml:space="preserve">Venta FAC-000002</t>
  </si>
  <si>
    <t xml:space="preserve">Venta FAC-000001</t>
  </si>
  <si>
    <t xml:space="preserve">INICIAL</t>
  </si>
  <si>
    <t xml:space="preserve">Stock inicial</t>
  </si>
  <si>
    <t xml:space="preserve">id_cliente</t>
  </si>
  <si>
    <t xml:space="preserve">nombre</t>
  </si>
  <si>
    <t xml:space="preserve">telefono</t>
  </si>
  <si>
    <t xml:space="preserve">correo</t>
  </si>
  <si>
    <t xml:space="preserve">809-555-1001</t>
  </si>
  <si>
    <t xml:space="preserve">edgar@example.com</t>
  </si>
  <si>
    <t xml:space="preserve">809-555-1002</t>
  </si>
  <si>
    <t xml:space="preserve">carlos@example.com</t>
  </si>
  <si>
    <t xml:space="preserve">809-555-9025</t>
  </si>
  <si>
    <t xml:space="preserve">maria@example.com</t>
  </si>
  <si>
    <t xml:space="preserve">Para editar, seleccione una fila de la tabla y presione "Editar cliente". Los datos se guardan en PostgreSQL.</t>
  </si>
  <si>
    <t xml:space="preserve">id_producto</t>
  </si>
  <si>
    <t xml:space="preserve">categoria</t>
  </si>
  <si>
    <t xml:space="preserve">precio</t>
  </si>
  <si>
    <t xml:space="preserve">stock</t>
  </si>
  <si>
    <t xml:space="preserve">Periféricos</t>
  </si>
  <si>
    <t xml:space="preserve">Monitores</t>
  </si>
  <si>
    <t xml:space="preserve">Audio</t>
  </si>
  <si>
    <t xml:space="preserve">Almacenamiento</t>
  </si>
  <si>
    <t xml:space="preserve">Para editar o registrar una entrada, seleccione primero el producto en la tabla. Los productos con 5 unidades o menos se marcan en rojo.</t>
  </si>
  <si>
    <t xml:space="preserve">id_venta</t>
  </si>
  <si>
    <t xml:space="preserve">fecha</t>
  </si>
  <si>
    <t xml:space="preserve">subtotal</t>
  </si>
  <si>
    <t xml:space="preserve">itbis</t>
  </si>
  <si>
    <t xml:space="preserve">total</t>
  </si>
  <si>
    <t xml:space="preserve">estado</t>
  </si>
  <si>
    <t xml:space="preserve">id_detalle</t>
  </si>
  <si>
    <t xml:space="preserve"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</si>
</sst>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D$&quot; #,##0.00"/>
    <numFmt numFmtId="165" formatCode="dd/mm/yyyy"/>
    <numFmt numFmtId="166" formatCode="dd/mm/yyyy hh:mm"/>
  </numFmts>
  <fonts count="19">
    <font>
      <sz val="11"/>
      <color theme="1"/>
      <name val="Aptos Narrow"/>
      <family val="2"/>
      <scheme val="minor"/>
    </font>
    <font>
      <b/>
      <sz val="20"/>
      <color rgb="FF1F3A5F"/>
      <name val="Aptos Narrow"/>
      <family val="2"/>
      <scheme val="minor"/>
    </font>
    <font>
      <i/>
      <sz val="11"/>
      <color rgb="FF5B6B7C"/>
      <name val="Aptos Narrow"/>
      <family val="2"/>
      <scheme val="minor"/>
    </font>
    <font>
      <b/>
      <sz val="12"/>
      <color rgb="FF1F3A5F"/>
      <name val="Aptos Narrow"/>
      <family val="2"/>
      <scheme val="minor"/>
    </font>
    <font>
      <b/>
      <sz val="9"/>
      <color rgb="FF5B6B7C"/>
      <name val="Aptos Narrow"/>
      <family val="2"/>
      <scheme val="minor"/>
    </font>
    <font>
      <b/>
      <sz val="18"/>
      <color rgb="FF1F3A5F"/>
      <name val="Aptos Narrow"/>
      <family val="2"/>
      <scheme val="minor"/>
    </font>
    <font>
      <b/>
      <sz val="18"/>
      <color rgb="FFC62828"/>
      <name val="Aptos Narrow"/>
      <family val="2"/>
      <scheme val="minor"/>
    </font>
    <font>
      <b/>
      <sz val="16"/>
      <color rgb="FF1F3A5F"/>
      <name val="Aptos Narrow"/>
      <family val="2"/>
      <scheme val="minor"/>
    </font>
    <font>
      <i/>
      <sz val="9"/>
      <color rgb="FF5B6B7C"/>
      <name val="Aptos Narrow"/>
      <family val="2"/>
      <scheme val="minor"/>
    </font>
    <font>
      <b/>
      <sz val="11"/>
      <color rgb="FF1F3A5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9"/>
      <color rgb="FF5B6B7C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1"/>
      <color rgb="FF5B6B7C"/>
      <name val="Aptos Narrow"/>
      <family val="2"/>
      <scheme val="minor"/>
    </font>
    <font>
      <b/>
      <sz val="11"/>
      <color rgb="FF2E7D32"/>
      <name val="Aptos Narrow"/>
      <family val="2"/>
      <scheme val="minor"/>
    </font>
    <font>
      <b/>
      <i/>
      <sz val="11"/>
      <color rgb="FF1F3A5F"/>
      <name val="Aptos Narrow"/>
      <family val="2"/>
      <scheme val="minor"/>
    </font>
    <font>
      <b/>
      <sz val="13"/>
      <color rgb="FF1F3A5F"/>
      <name val="Aptos Narrow"/>
      <family val="2"/>
      <scheme val="minor"/>
    </font>
    <font>
      <b/>
      <sz val="13"/>
      <color rgb="FFC6282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EF2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F3A5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1F3A5F"/>
      </bottom>
      <diagonal/>
    </border>
    <border>
      <left style="thin">
        <color rgb="FFE0C36A"/>
      </left>
      <right style="thin">
        <color rgb="FFE0C36A"/>
      </right>
      <top style="thin">
        <color rgb="FFE0C36A"/>
      </top>
      <bottom style="thin">
        <color rgb="FFE0C36A"/>
      </bottom>
      <diagonal/>
    </border>
    <border>
      <left style="thin">
        <color rgb="FF1F3A5F"/>
      </left>
      <right style="thin">
        <color rgb="FF1F3A5F"/>
      </right>
      <top style="thin">
        <color rgb="FF1F3A5F"/>
      </top>
      <bottom style="thin">
        <color rgb="FF1F3A5F"/>
      </bottom>
      <diagonal/>
    </border>
    <border>
      <left style="thin">
        <color rgb="FFC9D3E0"/>
      </left>
      <right style="thin">
        <color rgb="FFC9D3E0"/>
      </right>
      <top style="thin">
        <color rgb="FFC9D3E0"/>
      </top>
      <bottom style="thin">
        <color rgb="FFC9D3E0"/>
      </bottom>
      <diagonal/>
    </border>
    <border>
      <left/>
      <right/>
      <top/>
      <bottom style="thin">
        <color rgb="FFC9D3E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1" xfId="0" applyFont="1" applyBorder="1"/>
    <xf numFmtId="0" fontId="4" fillId="2" borderId="0" xfId="0" applyFont="1" applyFill="1" applyAlignment="1">
      <alignment horizontal="center" vertical="bottom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0" fillId="3" borderId="2" xfId="0" applyFill="1" applyBorder="1" applyAlignment="1">
      <alignment vertical="center"/>
    </xf>
    <xf numFmtId="0" fontId="8" fillId="0" borderId="0" xfId="0" applyFont="1" applyAlignment="1">
      <alignment vertical="top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vertical="center"/>
    </xf>
    <xf numFmtId="0" fontId="10" fillId="4" borderId="3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4" fontId="0" fillId="0" borderId="4" xfId="0" applyNumberFormat="1" applyBorder="1"/>
    <xf numFmtId="0" fontId="0" fillId="0" borderId="4" xfId="0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9" fillId="2" borderId="4" xfId="0" applyFont="1" applyFill="1" applyBorder="1"/>
    <xf numFmtId="164" fontId="12" fillId="0" borderId="4" xfId="0" applyNumberFormat="1" applyFont="1" applyBorder="1"/>
    <xf numFmtId="0" fontId="13" fillId="4" borderId="4" xfId="0" applyFont="1" applyFill="1" applyBorder="1" applyAlignment="1">
      <alignment vertical="center"/>
    </xf>
    <xf numFmtId="164" fontId="13" fillId="4" borderId="4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4" fillId="0" borderId="0" xfId="0" applyFont="1"/>
    <xf numFmtId="0" fontId="1" fillId="0" borderId="0" xfId="0" applyFont="1" applyAlignment="1">
      <alignment horizontal="right" vertical="center"/>
    </xf>
    <xf numFmtId="0" fontId="9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66" fontId="0" fillId="0" borderId="0" xfId="0" applyNumberFormat="1" applyAlignment="1">
      <alignment horizontal="right"/>
    </xf>
    <xf numFmtId="0" fontId="15" fillId="0" borderId="0" xfId="0" applyFont="1" applyAlignment="1">
      <alignment horizontal="right"/>
    </xf>
    <xf numFmtId="0" fontId="10" fillId="4" borderId="3" xfId="0" applyFont="1" applyFill="1" applyBorder="1" applyAlignment="1">
      <alignment horizontal="left" vertical="center" indent="1"/>
    </xf>
    <xf numFmtId="0" fontId="12" fillId="0" borderId="0" xfId="0" applyFont="1"/>
    <xf numFmtId="0" fontId="0" fillId="0" borderId="5" xfId="0" applyBorder="1" applyAlignment="1">
      <alignment horizontal="center"/>
    </xf>
    <xf numFmtId="0" fontId="0" fillId="0" borderId="5" xfId="0" applyBorder="1"/>
    <xf numFmtId="4" fontId="0" fillId="0" borderId="5" xfId="0" applyNumberFormat="1" applyBorder="1"/>
    <xf numFmtId="164" fontId="0" fillId="0" borderId="0" xfId="0" applyNumberFormat="1" applyAlignment="1">
      <alignment horizontal="right"/>
    </xf>
    <xf numFmtId="0" fontId="10" fillId="4" borderId="3" xfId="0" applyFont="1" applyFill="1" applyBorder="1" applyAlignment="1">
      <alignment horizontal="right" vertical="center"/>
    </xf>
    <xf numFmtId="164" fontId="13" fillId="4" borderId="0" xfId="0" applyNumberFormat="1" applyFont="1" applyFill="1" applyAlignment="1">
      <alignment horizontal="right" vertical="center"/>
    </xf>
    <xf numFmtId="0" fontId="16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65" fontId="0" fillId="3" borderId="2" xfId="0" applyNumberFormat="1" applyFill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166" fontId="0" fillId="0" borderId="4" xfId="0" applyNumberFormat="1" applyBorder="1" applyAlignment="1">
      <alignment horizontal="center"/>
    </xf>
    <xf numFmtId="0" fontId="0" fillId="0" borderId="4" xfId="0" applyBorder="1"/>
    <xf numFmtId="0" fontId="17" fillId="2" borderId="0" xfId="0" applyFont="1" applyFill="1" applyAlignment="1">
      <alignment horizontal="center" vertical="center"/>
    </xf>
    <xf numFmtId="4" fontId="17" fillId="2" borderId="0" xfId="0" applyNumberFormat="1" applyFont="1" applyFill="1" applyAlignment="1">
      <alignment horizontal="center" vertical="center"/>
    </xf>
    <xf numFmtId="164" fontId="17" fillId="2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65" fontId="0" fillId="0" borderId="4" xfId="0" applyNumberFormat="1" applyBorder="1" applyAlignment="1">
      <alignment horizontal="center"/>
    </xf>
    <xf numFmtId="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1">
    <dxf>
      <numFmt numFmtId="27" formatCode="d/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color rgb="FF9C0006"/>
      </font>
      <fill>
        <patternFill>
          <bgColor rgb="FFFFC7CE"/>
        </patternFill>
      </fill>
    </dxf>
    <dxf>
      <font>
        <b/>
        <color rgb="FFFFFFFF"/>
      </font>
      <fill>
        <patternFill>
          <bgColor rgb="FFC62828"/>
        </patternFill>
      </fill>
    </dxf>
    <dxf>
      <font>
        <strike/>
        <color rgb="FF9E9E9E"/>
      </font>
    </dxf>
    <dxf>
      <font>
        <color rgb="FF9C0006"/>
      </font>
      <fill>
        <patternFill>
          <bgColor rgb="FFFDECEA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styles" Target="styles.xml"/><Relationship Id="rId11" Type="http://schemas.openxmlformats.org/officeDocument/2006/relationships/theme" Target="theme/theme1.xml"/><Relationship Id="rId12" Type="http://schemas.openxmlformats.org/officeDocument/2006/relationships/connections" Target="connections.xml"/><Relationship Id="rId13" Type="http://schemas.openxmlformats.org/officeDocument/2006/relationships/sharedStrings" Target="sharedStrings.xml"/><Relationship Id="rId14" Type="http://schemas.microsoft.com/office/2006/relationships/vbaProject" Target="vbaProject.bin"/><Relationship Id="rId1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4</xdr:row>
      <xdr:rowOff>28575</xdr:rowOff>
    </xdr:from>
    <xdr:to>
      <xdr:col>2</xdr:col>
      <xdr:colOff>0</xdr:colOff>
      <xdr:row>6</xdr:row>
      <xdr:rowOff>0</xdr:rowOff>
    </xdr:to>
    <xdr:sp macro="[0]!IrANuevaVenta" textlink="">
      <xdr:nvSpPr>
        <xdr:cNvPr id="2" name="Boton Nueva venta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Nueva venta</a:t>
          </a:r>
        </a:p>
      </xdr:txBody>
    </xdr:sp>
    <xdr:clientData fPrintsWithSheet="0"/>
  </xdr:twoCellAnchor>
  <xdr:twoCellAnchor editAs="absolute">
    <xdr:from>
      <xdr:col>3</xdr:col>
      <xdr:colOff>28575</xdr:colOff>
      <xdr:row>4</xdr:row>
      <xdr:rowOff>28575</xdr:rowOff>
    </xdr:from>
    <xdr:to>
      <xdr:col>4</xdr:col>
      <xdr:colOff>0</xdr:colOff>
      <xdr:row>6</xdr:row>
      <xdr:rowOff>0</xdr:rowOff>
    </xdr:to>
    <xdr:sp macro="[0]!IrAHistorial" textlink="">
      <xdr:nvSpPr>
        <xdr:cNvPr id="3" name="Boton Historial de ventas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Historial de ventas</a:t>
          </a:r>
        </a:p>
      </xdr:txBody>
    </xdr:sp>
    <xdr:clientData fPrintsWithSheet="0"/>
  </xdr:twoCellAnchor>
  <xdr:twoCellAnchor editAs="absolute">
    <xdr:from>
      <xdr:col>5</xdr:col>
      <xdr:colOff>28575</xdr:colOff>
      <xdr:row>4</xdr:row>
      <xdr:rowOff>28575</xdr:rowOff>
    </xdr:from>
    <xdr:to>
      <xdr:col>6</xdr:col>
      <xdr:colOff>0</xdr:colOff>
      <xdr:row>6</xdr:row>
      <xdr:rowOff>0</xdr:rowOff>
    </xdr:to>
    <xdr:sp macro="[0]!IrAReportes" textlink="">
      <xdr:nvSpPr>
        <xdr:cNvPr id="4" name="Boton Reportes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Reportes</a:t>
          </a:r>
        </a:p>
      </xdr:txBody>
    </xdr:sp>
    <xdr:clientData fPrintsWithSheet="0"/>
  </xdr:twoCellAnchor>
  <xdr:twoCellAnchor editAs="absolute">
    <xdr:from>
      <xdr:col>1</xdr:col>
      <xdr:colOff>28575</xdr:colOff>
      <xdr:row>7</xdr:row>
      <xdr:rowOff>28575</xdr:rowOff>
    </xdr:from>
    <xdr:to>
      <xdr:col>2</xdr:col>
      <xdr:colOff>0</xdr:colOff>
      <xdr:row>9</xdr:row>
      <xdr:rowOff>0</xdr:rowOff>
    </xdr:to>
    <xdr:sp macro="[0]!IrAClientes" textlink="">
      <xdr:nvSpPr>
        <xdr:cNvPr id="5" name="Boton Clientes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Clientes</a:t>
          </a:r>
        </a:p>
      </xdr:txBody>
    </xdr:sp>
    <xdr:clientData fPrintsWithSheet="0"/>
  </xdr:twoCellAnchor>
  <xdr:twoCellAnchor editAs="absolute">
    <xdr:from>
      <xdr:col>3</xdr:col>
      <xdr:colOff>28575</xdr:colOff>
      <xdr:row>7</xdr:row>
      <xdr:rowOff>28575</xdr:rowOff>
    </xdr:from>
    <xdr:to>
      <xdr:col>4</xdr:col>
      <xdr:colOff>0</xdr:colOff>
      <xdr:row>9</xdr:row>
      <xdr:rowOff>0</xdr:rowOff>
    </xdr:to>
    <xdr:sp macro="[0]!IrAProductos" textlink="">
      <xdr:nvSpPr>
        <xdr:cNvPr id="6" name="Boton Productos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Productos</a:t>
          </a:r>
        </a:p>
      </xdr:txBody>
    </xdr:sp>
    <xdr:clientData fPrintsWithSheet="0"/>
  </xdr:twoCellAnchor>
  <xdr:twoCellAnchor editAs="absolute">
    <xdr:from>
      <xdr:col>5</xdr:col>
      <xdr:colOff>28575</xdr:colOff>
      <xdr:row>7</xdr:row>
      <xdr:rowOff>28575</xdr:rowOff>
    </xdr:from>
    <xdr:to>
      <xdr:col>6</xdr:col>
      <xdr:colOff>0</xdr:colOff>
      <xdr:row>9</xdr:row>
      <xdr:rowOff>0</xdr:rowOff>
    </xdr:to>
    <xdr:sp macro="[0]!BuscarFactura" textlink="">
      <xdr:nvSpPr>
        <xdr:cNvPr id="7" name="Boton Buscar factura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Buscar factura</a:t>
          </a:r>
        </a:p>
      </xdr:txBody>
    </xdr:sp>
    <xdr:clientData fPrintsWithSheet="0"/>
  </xdr:twoCellAnchor>
  <xdr:twoCellAnchor editAs="absolute">
    <xdr:from>
      <xdr:col>1</xdr:col>
      <xdr:colOff>28575</xdr:colOff>
      <xdr:row>10</xdr:row>
      <xdr:rowOff>28575</xdr:rowOff>
    </xdr:from>
    <xdr:to>
      <xdr:col>2</xdr:col>
      <xdr:colOff>0</xdr:colOff>
      <xdr:row>12</xdr:row>
      <xdr:rowOff>0</xdr:rowOff>
    </xdr:to>
    <xdr:sp macro="[0]!ActualizarTodo" textlink="">
      <xdr:nvSpPr>
        <xdr:cNvPr id="8" name="Boton Actualizar datos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Actualizar datos</a:t>
          </a:r>
        </a:p>
      </xdr:txBody>
    </xdr:sp>
    <xdr:clientData fPrintsWithSheet="0"/>
  </xdr:twoCellAnchor>
  <xdr:twoCellAnchor editAs="absolute">
    <xdr:from>
      <xdr:col>3</xdr:col>
      <xdr:colOff>28575</xdr:colOff>
      <xdr:row>10</xdr:row>
      <xdr:rowOff>28575</xdr:rowOff>
    </xdr:from>
    <xdr:to>
      <xdr:col>4</xdr:col>
      <xdr:colOff>0</xdr:colOff>
      <xdr:row>12</xdr:row>
      <xdr:rowOff>0</xdr:rowOff>
    </xdr:to>
    <xdr:sp macro="[0]!ProbarConexion" textlink="">
      <xdr:nvSpPr>
        <xdr:cNvPr id="9" name="Boton Probar conexión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Probar conexión</a:t>
          </a:r>
        </a:p>
      </xdr:txBody>
    </xdr:sp>
    <xdr:clientData fPrintsWithSheet="0"/>
  </xdr:twoCellAnchor>
  <xdr:twoCellAnchor editAs="absolute">
    <xdr:from>
      <xdr:col>5</xdr:col>
      <xdr:colOff>28575</xdr:colOff>
      <xdr:row>10</xdr:row>
      <xdr:rowOff>28575</xdr:rowOff>
    </xdr:from>
    <xdr:to>
      <xdr:col>6</xdr:col>
      <xdr:colOff>0</xdr:colOff>
      <xdr:row>12</xdr:row>
      <xdr:rowOff>0</xdr:rowOff>
    </xdr:to>
    <xdr:sp macro="[0]!EntradaInventario" textlink="">
      <xdr:nvSpPr>
        <xdr:cNvPr id="10" name="Boton Entrada de inventario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Entrada de inventario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28575</xdr:colOff>
      <xdr:row>8</xdr:row>
      <xdr:rowOff>28575</xdr:rowOff>
    </xdr:from>
    <xdr:to>
      <xdr:col>9</xdr:col>
      <xdr:colOff>0</xdr:colOff>
      <xdr:row>10</xdr:row>
      <xdr:rowOff>0</xdr:rowOff>
    </xdr:to>
    <xdr:sp macro="[0]!RegistrarVenta" textlink="">
      <xdr:nvSpPr>
        <xdr:cNvPr id="2" name="Boton Registrar venta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Registrar venta</a:t>
          </a:r>
        </a:p>
      </xdr:txBody>
    </xdr:sp>
    <xdr:clientData fPrintsWithSheet="0"/>
  </xdr:twoCellAnchor>
  <xdr:twoCellAnchor editAs="absolute">
    <xdr:from>
      <xdr:col>7</xdr:col>
      <xdr:colOff>28575</xdr:colOff>
      <xdr:row>11</xdr:row>
      <xdr:rowOff>28575</xdr:rowOff>
    </xdr:from>
    <xdr:to>
      <xdr:col>9</xdr:col>
      <xdr:colOff>0</xdr:colOff>
      <xdr:row>13</xdr:row>
      <xdr:rowOff>0</xdr:rowOff>
    </xdr:to>
    <xdr:sp macro="[0]!LimpiarVenta" textlink="">
      <xdr:nvSpPr>
        <xdr:cNvPr id="3" name="Boton Limpiar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Limpiar</a:t>
          </a:r>
        </a:p>
      </xdr:txBody>
    </xdr:sp>
    <xdr:clientData fPrintsWithSheet="0"/>
  </xdr:twoCellAnchor>
  <xdr:twoCellAnchor editAs="absolute">
    <xdr:from>
      <xdr:col>7</xdr:col>
      <xdr:colOff>28575</xdr:colOff>
      <xdr:row>14</xdr:row>
      <xdr:rowOff>28575</xdr:rowOff>
    </xdr:from>
    <xdr:to>
      <xdr:col>9</xdr:col>
      <xdr:colOff>0</xdr:colOff>
      <xdr:row>16</xdr:row>
      <xdr:rowOff>0</xdr:rowOff>
    </xdr:to>
    <xdr:sp macro="[0]!IrAMenu" textlink="">
      <xdr:nvSpPr>
        <xdr:cNvPr id="4" name="Boton Menú principal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28575</xdr:colOff>
      <xdr:row>1</xdr:row>
      <xdr:rowOff>28575</xdr:rowOff>
    </xdr:from>
    <xdr:to>
      <xdr:col>7</xdr:col>
      <xdr:colOff>0</xdr:colOff>
      <xdr:row>3</xdr:row>
      <xdr:rowOff>0</xdr:rowOff>
    </xdr:to>
    <xdr:sp macro="[0]!BuscarFactura" textlink="">
      <xdr:nvSpPr>
        <xdr:cNvPr id="2" name="Boton Buscar factura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Buscar factura</a:t>
          </a:r>
        </a:p>
      </xdr:txBody>
    </xdr:sp>
    <xdr:clientData fPrintsWithSheet="0"/>
  </xdr:twoCellAnchor>
  <xdr:twoCellAnchor editAs="absolute">
    <xdr:from>
      <xdr:col>6</xdr:col>
      <xdr:colOff>28575</xdr:colOff>
      <xdr:row>4</xdr:row>
      <xdr:rowOff>28575</xdr:rowOff>
    </xdr:from>
    <xdr:to>
      <xdr:col>7</xdr:col>
      <xdr:colOff>0</xdr:colOff>
      <xdr:row>6</xdr:row>
      <xdr:rowOff>0</xdr:rowOff>
    </xdr:to>
    <xdr:sp macro="[0]!ExportarFacturaPDF" textlink="">
      <xdr:nvSpPr>
        <xdr:cNvPr id="3" name="Boton Exportar PDF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Exportar PDF</a:t>
          </a:r>
        </a:p>
      </xdr:txBody>
    </xdr:sp>
    <xdr:clientData fPrintsWithSheet="0"/>
  </xdr:twoCellAnchor>
  <xdr:twoCellAnchor editAs="absolute">
    <xdr:from>
      <xdr:col>6</xdr:col>
      <xdr:colOff>28575</xdr:colOff>
      <xdr:row>7</xdr:row>
      <xdr:rowOff>28575</xdr:rowOff>
    </xdr:from>
    <xdr:to>
      <xdr:col>7</xdr:col>
      <xdr:colOff>0</xdr:colOff>
      <xdr:row>9</xdr:row>
      <xdr:rowOff>0</xdr:rowOff>
    </xdr:to>
    <xdr:sp macro="[0]!AnularFacturaActual" textlink="">
      <xdr:nvSpPr>
        <xdr:cNvPr id="4" name="Boton Anular factura"/>
        <xdr:cNvSpPr/>
      </xdr:nvSpPr>
      <xdr:spPr>
        <a:prstGeom prst="roundRect">
          <a:avLst/>
        </a:prstGeom>
        <a:solidFill>
          <a:srgbClr val="C62828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Anular factura</a:t>
          </a:r>
        </a:p>
      </xdr:txBody>
    </xdr:sp>
    <xdr:clientData fPrintsWithSheet="0"/>
  </xdr:twoCellAnchor>
  <xdr:twoCellAnchor editAs="absolute">
    <xdr:from>
      <xdr:col>6</xdr:col>
      <xdr:colOff>28575</xdr:colOff>
      <xdr:row>10</xdr:row>
      <xdr:rowOff>28575</xdr:rowOff>
    </xdr:from>
    <xdr:to>
      <xdr:col>7</xdr:col>
      <xdr:colOff>0</xdr:colOff>
      <xdr:row>12</xdr:row>
      <xdr:rowOff>0</xdr:rowOff>
    </xdr:to>
    <xdr:sp macro="[0]!IrAMenu" textlink="">
      <xdr:nvSpPr>
        <xdr:cNvPr id="5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28575</xdr:colOff>
      <xdr:row>1</xdr:row>
      <xdr:rowOff>28575</xdr:rowOff>
    </xdr:from>
    <xdr:to>
      <xdr:col>11</xdr:col>
      <xdr:colOff>0</xdr:colOff>
      <xdr:row>3</xdr:row>
      <xdr:rowOff>0</xdr:rowOff>
    </xdr:to>
    <xdr:sp macro="[0]!CargarHistorial" textlink="">
      <xdr:nvSpPr>
        <xdr:cNvPr id="2" name="Boton Actualizar / Filtrar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Actualizar / Filtrar</a:t>
          </a:r>
        </a:p>
      </xdr:txBody>
    </xdr:sp>
    <xdr:clientData fPrintsWithSheet="0"/>
  </xdr:twoCellAnchor>
  <xdr:twoCellAnchor editAs="absolute">
    <xdr:from>
      <xdr:col>10</xdr:col>
      <xdr:colOff>28575</xdr:colOff>
      <xdr:row>4</xdr:row>
      <xdr:rowOff>28575</xdr:rowOff>
    </xdr:from>
    <xdr:to>
      <xdr:col>11</xdr:col>
      <xdr:colOff>0</xdr:colOff>
      <xdr:row>6</xdr:row>
      <xdr:rowOff>0</xdr:rowOff>
    </xdr:to>
    <xdr:sp macro="[0]!VerFacturaSeleccionada" textlink="">
      <xdr:nvSpPr>
        <xdr:cNvPr id="3" name="Boton Ver factura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Ver factura</a:t>
          </a:r>
        </a:p>
      </xdr:txBody>
    </xdr:sp>
    <xdr:clientData fPrintsWithSheet="0"/>
  </xdr:twoCellAnchor>
  <xdr:twoCellAnchor editAs="absolute">
    <xdr:from>
      <xdr:col>10</xdr:col>
      <xdr:colOff>28575</xdr:colOff>
      <xdr:row>7</xdr:row>
      <xdr:rowOff>28575</xdr:rowOff>
    </xdr:from>
    <xdr:to>
      <xdr:col>11</xdr:col>
      <xdr:colOff>0</xdr:colOff>
      <xdr:row>9</xdr:row>
      <xdr:rowOff>0</xdr:rowOff>
    </xdr:to>
    <xdr:sp macro="[0]!AnularVentaSeleccionada" textlink="">
      <xdr:nvSpPr>
        <xdr:cNvPr id="4" name="Boton Anular venta"/>
        <xdr:cNvSpPr/>
      </xdr:nvSpPr>
      <xdr:spPr>
        <a:prstGeom prst="roundRect">
          <a:avLst/>
        </a:prstGeom>
        <a:solidFill>
          <a:srgbClr val="C62828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Anular venta</a:t>
          </a:r>
        </a:p>
      </xdr:txBody>
    </xdr:sp>
    <xdr:clientData fPrintsWithSheet="0"/>
  </xdr:twoCellAnchor>
  <xdr:twoCellAnchor editAs="absolute">
    <xdr:from>
      <xdr:col>10</xdr:col>
      <xdr:colOff>28575</xdr:colOff>
      <xdr:row>10</xdr:row>
      <xdr:rowOff>28575</xdr:rowOff>
    </xdr:from>
    <xdr:to>
      <xdr:col>11</xdr:col>
      <xdr:colOff>0</xdr:colOff>
      <xdr:row>12</xdr:row>
      <xdr:rowOff>0</xdr:rowOff>
    </xdr:to>
    <xdr:sp macro="[0]!IrAMenu" textlink="">
      <xdr:nvSpPr>
        <xdr:cNvPr id="5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28575</xdr:colOff>
      <xdr:row>2</xdr:row>
      <xdr:rowOff>28575</xdr:rowOff>
    </xdr:from>
    <xdr:to>
      <xdr:col>5</xdr:col>
      <xdr:colOff>0</xdr:colOff>
      <xdr:row>4</xdr:row>
      <xdr:rowOff>0</xdr:rowOff>
    </xdr:to>
    <xdr:sp macro="[0]!GenerarReportes" textlink="">
      <xdr:nvSpPr>
        <xdr:cNvPr id="2" name="Boton Generar reporte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Generar reporte</a:t>
          </a:r>
        </a:p>
      </xdr:txBody>
    </xdr:sp>
    <xdr:clientData fPrintsWithSheet="0"/>
  </xdr:twoCellAnchor>
  <xdr:twoCellAnchor editAs="absolute">
    <xdr:from>
      <xdr:col>6</xdr:col>
      <xdr:colOff>28575</xdr:colOff>
      <xdr:row>2</xdr:row>
      <xdr:rowOff>28575</xdr:rowOff>
    </xdr:from>
    <xdr:to>
      <xdr:col>7</xdr:col>
      <xdr:colOff>0</xdr:colOff>
      <xdr:row>4</xdr:row>
      <xdr:rowOff>0</xdr:rowOff>
    </xdr:to>
    <xdr:sp macro="[0]!IrAMenu" textlink="">
      <xdr:nvSpPr>
        <xdr:cNvPr id="3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28575</xdr:colOff>
      <xdr:row>0</xdr:row>
      <xdr:rowOff>28575</xdr:rowOff>
    </xdr:from>
    <xdr:to>
      <xdr:col>6</xdr:col>
      <xdr:colOff>0</xdr:colOff>
      <xdr:row>2</xdr:row>
      <xdr:rowOff>0</xdr:rowOff>
    </xdr:to>
    <xdr:sp macro="[0]!RegistrarCliente" textlink="">
      <xdr:nvSpPr>
        <xdr:cNvPr id="2" name="Boton Registrar cliente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Registrar cliente</a:t>
          </a:r>
        </a:p>
      </xdr:txBody>
    </xdr:sp>
    <xdr:clientData fPrintsWithSheet="0"/>
  </xdr:twoCellAnchor>
  <xdr:twoCellAnchor editAs="absolute">
    <xdr:from>
      <xdr:col>5</xdr:col>
      <xdr:colOff>28575</xdr:colOff>
      <xdr:row>3</xdr:row>
      <xdr:rowOff>28575</xdr:rowOff>
    </xdr:from>
    <xdr:to>
      <xdr:col>6</xdr:col>
      <xdr:colOff>0</xdr:colOff>
      <xdr:row>5</xdr:row>
      <xdr:rowOff>0</xdr:rowOff>
    </xdr:to>
    <xdr:sp macro="[0]!EditarCliente" textlink="">
      <xdr:nvSpPr>
        <xdr:cNvPr id="3" name="Boton Editar cliente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Editar cliente</a:t>
          </a:r>
        </a:p>
      </xdr:txBody>
    </xdr:sp>
    <xdr:clientData fPrintsWithSheet="0"/>
  </xdr:twoCellAnchor>
  <xdr:twoCellAnchor editAs="absolute">
    <xdr:from>
      <xdr:col>5</xdr:col>
      <xdr:colOff>28575</xdr:colOff>
      <xdr:row>6</xdr:row>
      <xdr:rowOff>28575</xdr:rowOff>
    </xdr:from>
    <xdr:to>
      <xdr:col>6</xdr:col>
      <xdr:colOff>0</xdr:colOff>
      <xdr:row>8</xdr:row>
      <xdr:rowOff>0</xdr:rowOff>
    </xdr:to>
    <xdr:sp macro="[0]!CargarClientes" textlink="">
      <xdr:nvSpPr>
        <xdr:cNvPr id="4" name="Boton Actualizar lista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Actualizar lista</a:t>
          </a:r>
        </a:p>
      </xdr:txBody>
    </xdr:sp>
    <xdr:clientData fPrintsWithSheet="0"/>
  </xdr:twoCellAnchor>
  <xdr:twoCellAnchor editAs="absolute">
    <xdr:from>
      <xdr:col>5</xdr:col>
      <xdr:colOff>28575</xdr:colOff>
      <xdr:row>9</xdr:row>
      <xdr:rowOff>28575</xdr:rowOff>
    </xdr:from>
    <xdr:to>
      <xdr:col>6</xdr:col>
      <xdr:colOff>0</xdr:colOff>
      <xdr:row>11</xdr:row>
      <xdr:rowOff>0</xdr:rowOff>
    </xdr:to>
    <xdr:sp macro="[0]!IrAMenu" textlink="">
      <xdr:nvSpPr>
        <xdr:cNvPr id="5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28575</xdr:colOff>
      <xdr:row>0</xdr:row>
      <xdr:rowOff>28575</xdr:rowOff>
    </xdr:from>
    <xdr:to>
      <xdr:col>7</xdr:col>
      <xdr:colOff>0</xdr:colOff>
      <xdr:row>2</xdr:row>
      <xdr:rowOff>0</xdr:rowOff>
    </xdr:to>
    <xdr:sp macro="[0]!RegistrarProducto" textlink="">
      <xdr:nvSpPr>
        <xdr:cNvPr id="2" name="Boton Registrar producto"/>
        <xdr:cNvSpPr/>
      </xdr:nvSpPr>
      <xdr:spPr>
        <a:prstGeom prst="roundRect">
          <a:avLst/>
        </a:prstGeom>
        <a:solidFill>
          <a:srgbClr val="2E7D32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Registrar producto</a:t>
          </a:r>
        </a:p>
      </xdr:txBody>
    </xdr:sp>
    <xdr:clientData fPrintsWithSheet="0"/>
  </xdr:twoCellAnchor>
  <xdr:twoCellAnchor editAs="absolute">
    <xdr:from>
      <xdr:col>6</xdr:col>
      <xdr:colOff>28575</xdr:colOff>
      <xdr:row>3</xdr:row>
      <xdr:rowOff>28575</xdr:rowOff>
    </xdr:from>
    <xdr:to>
      <xdr:col>7</xdr:col>
      <xdr:colOff>0</xdr:colOff>
      <xdr:row>5</xdr:row>
      <xdr:rowOff>0</xdr:rowOff>
    </xdr:to>
    <xdr:sp macro="[0]!EditarProducto" textlink="">
      <xdr:nvSpPr>
        <xdr:cNvPr id="3" name="Boton Editar producto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Editar producto</a:t>
          </a:r>
        </a:p>
      </xdr:txBody>
    </xdr:sp>
    <xdr:clientData fPrintsWithSheet="0"/>
  </xdr:twoCellAnchor>
  <xdr:twoCellAnchor editAs="absolute">
    <xdr:from>
      <xdr:col>6</xdr:col>
      <xdr:colOff>28575</xdr:colOff>
      <xdr:row>6</xdr:row>
      <xdr:rowOff>28575</xdr:rowOff>
    </xdr:from>
    <xdr:to>
      <xdr:col>7</xdr:col>
      <xdr:colOff>0</xdr:colOff>
      <xdr:row>8</xdr:row>
      <xdr:rowOff>0</xdr:rowOff>
    </xdr:to>
    <xdr:sp macro="[0]!EntradaInventario" textlink="">
      <xdr:nvSpPr>
        <xdr:cNvPr id="4" name="Boton Entrada de inventario"/>
        <xdr:cNvSpPr/>
      </xdr:nvSpPr>
      <xdr:spPr>
        <a:prstGeom prst="roundRect">
          <a:avLst/>
        </a:prstGeom>
        <a:solidFill>
          <a:srgbClr val="2563A6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Entrada de inventario</a:t>
          </a:r>
        </a:p>
      </xdr:txBody>
    </xdr:sp>
    <xdr:clientData fPrintsWithSheet="0"/>
  </xdr:twoCellAnchor>
  <xdr:twoCellAnchor editAs="absolute">
    <xdr:from>
      <xdr:col>6</xdr:col>
      <xdr:colOff>28575</xdr:colOff>
      <xdr:row>9</xdr:row>
      <xdr:rowOff>28575</xdr:rowOff>
    </xdr:from>
    <xdr:to>
      <xdr:col>7</xdr:col>
      <xdr:colOff>0</xdr:colOff>
      <xdr:row>11</xdr:row>
      <xdr:rowOff>0</xdr:rowOff>
    </xdr:to>
    <xdr:sp macro="[0]!CargarProductos" textlink="">
      <xdr:nvSpPr>
        <xdr:cNvPr id="5" name="Boton Actualizar lista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Actualizar lista</a:t>
          </a:r>
        </a:p>
      </xdr:txBody>
    </xdr:sp>
    <xdr:clientData fPrintsWithSheet="0"/>
  </xdr:twoCellAnchor>
  <xdr:twoCellAnchor editAs="absolute">
    <xdr:from>
      <xdr:col>6</xdr:col>
      <xdr:colOff>28575</xdr:colOff>
      <xdr:row>12</xdr:row>
      <xdr:rowOff>28575</xdr:rowOff>
    </xdr:from>
    <xdr:to>
      <xdr:col>7</xdr:col>
      <xdr:colOff>0</xdr:colOff>
      <xdr:row>14</xdr:row>
      <xdr:rowOff>0</xdr:rowOff>
    </xdr:to>
    <xdr:sp macro="[0]!IrAMenu" textlink="">
      <xdr:nvSpPr>
        <xdr:cNvPr id="6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0</xdr:row>
      <xdr:rowOff>28575</xdr:rowOff>
    </xdr:from>
    <xdr:to>
      <xdr:col>9</xdr:col>
      <xdr:colOff>0</xdr:colOff>
      <xdr:row>2</xdr:row>
      <xdr:rowOff>0</xdr:rowOff>
    </xdr:to>
    <xdr:sp macro="[0]!IrAMenu" textlink="">
      <xdr:nvSpPr>
        <xdr:cNvPr id="2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28575</xdr:colOff>
      <xdr:row>0</xdr:row>
      <xdr:rowOff>28575</xdr:rowOff>
    </xdr:from>
    <xdr:to>
      <xdr:col>8</xdr:col>
      <xdr:colOff>0</xdr:colOff>
      <xdr:row>2</xdr:row>
      <xdr:rowOff>0</xdr:rowOff>
    </xdr:to>
    <xdr:sp macro="[0]!IrAMenu" textlink="">
      <xdr:nvSpPr>
        <xdr:cNvPr id="2" name="Boton Menú principal"/>
        <xdr:cNvSpPr/>
      </xdr:nvSpPr>
      <xdr:spPr>
        <a:prstGeom prst="roundRect">
          <a:avLst/>
        </a:prstGeom>
        <a:solidFill>
          <a:srgbClr val="5B6B7C"/>
        </a:solidFill>
        <a:ln>
          <a:noFill/>
        </a:ln>
        <a:effectLst>
          <a:outerShdw blurRad="25400" dist="12700" dir="5400000" algn="ctr" rotWithShape="0">
            <a:srgbClr val="000000">
              <a:alpha val="25000"/>
            </a:srgbClr>
          </a:outerShdw>
        </a:effectLst>
      </xdr:spPr>
      <xdr:txBody>
        <a:bodyPr vertOverflow="clip" horzOverflow="clip" lIns="45720" rIns="45720" rtlCol="0" anchor="ctr"/>
        <a:lstStyle/>
        <a:p>
          <a:pPr algn="ctr"/>
          <a:r>
            <a:rPr lang="es-DO" sz="1100" b="1">
              <a:solidFill>
                <a:srgbClr val="FFFFFF"/>
              </a:solidFill>
              <a:latin typeface="Arial"/>
              <a:cs typeface="Arial"/>
            </a:rPr>
            <a:t>Menú principal</a:t>
          </a:r>
        </a:p>
      </xdr:txBody>
    </xdr:sp>
    <xdr:clientData fPrint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13A950C-AE8A-4BD9-8901-9D1BC94525C3}" autoFormatId="16" applyNumberFormats="0" applyBorderFormats="0" applyFontFormats="0" applyPatternFormats="0" applyAlignmentFormats="0" applyWidthHeightFormats="0">
  <queryTableRefresh nextId="5">
    <queryTableFields count="4">
      <queryTableField id="1" name="id_cliente" tableColumnId="1"/>
      <queryTableField id="2" name="nombre" tableColumnId="2"/>
      <queryTableField id="3" name="telefono" tableColumnId="3"/>
      <queryTableField id="4" name="corre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C663E52C-8ED2-48F0-9F99-8F453BAD24E7}" autoFormatId="16" applyNumberFormats="0" applyBorderFormats="0" applyFontFormats="0" applyPatternFormats="0" applyAlignmentFormats="0" applyWidthHeightFormats="0">
  <queryTableRefresh nextId="6">
    <queryTableFields count="5">
      <queryTableField id="1" name="id_producto" tableColumnId="1"/>
      <queryTableField id="2" name="nombre" tableColumnId="2"/>
      <queryTableField id="3" name="categoria" tableColumnId="3"/>
      <queryTableField id="4" name="precio" tableColumnId="4"/>
      <queryTableField id="5" name="stock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C339F1EE-2309-4C01-99A6-4340708CD2F2}" autoFormatId="16" applyNumberFormats="0" applyBorderFormats="0" applyFontFormats="0" applyPatternFormats="0" applyAlignmentFormats="0" applyWidthHeightFormats="0">
  <queryTableRefresh nextId="7">
    <queryTableFields count="6">
      <queryTableField id="1" name="id_detalle" tableColumnId="1"/>
      <queryTableField id="2" name="id_venta" tableColumnId="2"/>
      <queryTableField id="3" name="id_producto" tableColumnId="3"/>
      <queryTableField id="4" name="cantidad" tableColumnId="4"/>
      <queryTableField id="5" name="precio" tableColumnId="5"/>
      <queryTableField id="6" name="subtotal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4B9245C6-EDC7-441C-ACE0-AC2CA45E5269}" autoFormatId="16" applyNumberFormats="0" applyBorderFormats="0" applyFontFormats="0" applyPatternFormats="0" applyAlignmentFormats="0" applyWidthHeightFormats="0">
  <queryTableRefresh nextId="8">
    <queryTableFields count="7">
      <queryTableField id="1" name="id_venta" tableColumnId="1"/>
      <queryTableField id="2" name="id_cliente" tableColumnId="2"/>
      <queryTableField id="3" name="fecha" tableColumnId="3"/>
      <queryTableField id="4" name="subtotal" tableColumnId="4"/>
      <queryTableField id="5" name="itbis" tableColumnId="5"/>
      <queryTableField id="6" name="total" tableColumnId="6"/>
      <queryTableField id="7" name="estado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9D203-1DFF-4606-8B5E-BD28E65AD39B}" name="clientes" displayName="clientes" ref="A1:D6" tableType="queryTable" totalsRowShown="0">
  <autoFilter ref="A1:D6" xr:uid="{B8C9D203-1DFF-4606-8B5E-BD28E65AD39B}"/>
  <tableColumns count="4">
    <tableColumn id="1" xr3:uid="{2A13A458-D27A-4CE0-9E2C-66DEB5738CDB}" uniqueName="1" name="id_cliente" queryTableFieldId="1"/>
    <tableColumn id="2" xr3:uid="{2E6A6CD0-0939-4666-A7DB-4A995D736D5D}" uniqueName="2" name="nombre" queryTableFieldId="2" dataDxfId="5"/>
    <tableColumn id="3" xr3:uid="{8DA7686A-B99B-49D1-B0C1-112B84D65E62}" uniqueName="3" name="telefono" queryTableFieldId="3" dataDxfId="4"/>
    <tableColumn id="4" xr3:uid="{BEAF0F88-A397-4386-ABE7-1B9F784466FD}" uniqueName="4" name="correo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3BB778-3F76-447D-B9E2-7DBF792217D3}" name="Productos" displayName="Productos" ref="A1:E9" tableType="queryTable" totalsRowShown="0">
  <autoFilter ref="A1:E9" xr:uid="{D53BB778-3F76-447D-B9E2-7DBF792217D3}"/>
  <tableColumns count="5">
    <tableColumn id="1" xr3:uid="{FC2BEB2A-DF59-4D25-B4E9-FCD3CF41288F}" uniqueName="1" name="id_producto" queryTableFieldId="1"/>
    <tableColumn id="2" xr3:uid="{2B61E1C5-5E3D-46F0-ADEB-7FFBF5B42990}" uniqueName="2" name="nombre" queryTableFieldId="2" dataDxfId="2"/>
    <tableColumn id="3" xr3:uid="{CF627E7D-4DF2-45AD-9270-C6C80CDAA4C3}" uniqueName="3" name="categoria" queryTableFieldId="3" dataDxfId="1"/>
    <tableColumn id="4" xr3:uid="{FB24C0DA-741C-4FA1-A89C-47DFE0AF1722}" uniqueName="4" name="precio" queryTableFieldId="4"/>
    <tableColumn id="5" xr3:uid="{A9345793-63FB-4537-887A-76415655046C}" uniqueName="5" name="stock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28B2EC-7BBD-4FA3-A66D-A003A90F6FE6}" name="DetalleVentas" displayName="DetalleVentas" ref="A1:F12" tableType="queryTable" totalsRowShown="0">
  <autoFilter ref="A1:F12" xr:uid="{3728B2EC-7BBD-4FA3-A66D-A003A90F6FE6}"/>
  <tableColumns count="6">
    <tableColumn id="1" xr3:uid="{56A8161C-421C-4C68-AD59-98734613BB5F}" uniqueName="1" name="id_detalle" queryTableFieldId="1"/>
    <tableColumn id="2" xr3:uid="{6F382C4B-B0B3-485D-A35D-080B879FD986}" uniqueName="2" name="id_venta" queryTableFieldId="2"/>
    <tableColumn id="3" xr3:uid="{2F27F218-F67A-442D-9195-A29B2F976997}" uniqueName="3" name="id_producto" queryTableFieldId="3"/>
    <tableColumn id="4" xr3:uid="{15795EB5-D8E0-4803-85F5-241B35017A88}" uniqueName="4" name="cantidad" queryTableFieldId="4"/>
    <tableColumn id="5" xr3:uid="{207BA42B-8D9F-4984-802F-194626496455}" uniqueName="5" name="precio" queryTableFieldId="5"/>
    <tableColumn id="6" xr3:uid="{2EAD18D4-57C4-4A46-B16F-3CB19B831659}" uniqueName="6" name="subtotal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5ED551-D698-4C70-8EDA-2F07DC98C0EE}" name="Ventas" displayName="Ventas" ref="A1:G7" tableType="queryTable" totalsRowShown="0">
  <autoFilter ref="A1:G7" xr:uid="{1A5ED551-D698-4C70-8EDA-2F07DC98C0EE}"/>
  <tableColumns count="7">
    <tableColumn id="1" xr3:uid="{296AC379-C400-4D55-895C-A32311077384}" uniqueName="1" name="id_venta" queryTableFieldId="1"/>
    <tableColumn id="2" xr3:uid="{F1D2FDE5-76CF-4344-9324-D2A30D1FD99F}" uniqueName="2" name="id_cliente" queryTableFieldId="2"/>
    <tableColumn id="3" xr3:uid="{CC51CCB1-CAC9-4363-8C14-5C5ECC8527D3}" uniqueName="3" name="fecha" queryTableFieldId="3" dataDxfId="0"/>
    <tableColumn id="4" xr3:uid="{5E936B5B-19E4-47A9-B637-0379F93D66B4}" uniqueName="4" name="subtotal" queryTableFieldId="4"/>
    <tableColumn id="5" xr3:uid="{BEA3FE66-F85E-4EE9-8970-FE63070BC16D}" uniqueName="5" name="itbis" queryTableFieldId="5"/>
    <tableColumn id="6" xr3:uid="{8F9B9CF9-F79D-41D1-B343-47ED0CE9AC9A}" uniqueName="6" name="total" queryTableFieldId="6"/>
    <tableColumn id="7" xr3:uid="{94C562CB-CAF1-4422-B7C9-A980831532E1}" uniqueName="7" name="estado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6.xml"/><Relationship Id="rIdT1" Type="http://schemas.openxmlformats.org/officeDocument/2006/relationships/table" Target="../tables/table1.xml"/></Relationships>
</file>

<file path=xl/worksheets/_rels/sheet7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7.xml"/><Relationship Id="rIdT1" Type="http://schemas.openxmlformats.org/officeDocument/2006/relationships/table" Target="../tables/table2.xml"/></Relationships>
</file>

<file path=xl/worksheets/_rels/sheet8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8.xml"/><Relationship Id="rIdT1" Type="http://schemas.openxmlformats.org/officeDocument/2006/relationships/table" Target="../tables/table4.xml"/></Relationships>
</file>

<file path=xl/worksheets/_rels/sheet9.xml.rels><?xml version="1.0" encoding="UTF-8" standalone="yes"?>
<Relationships xmlns="http://schemas.openxmlformats.org/package/2006/relationships"><Relationship Id="rIdD1" Type="http://schemas.openxmlformats.org/officeDocument/2006/relationships/drawing" Target="../drawings/drawing9.xml"/><Relationship Id="rIdT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1F3A5F"/>
  </sheetPr>
  <dimension ref="A1:F32"/>
  <sheetViews>
    <sheetView workbookViewId="0" showGridLines="0" tabSelected="1">
      <selection activeCell="A1" sqref="A1"/>
    </sheetView>
  </sheetViews>
  <sheetFormatPr baseColWidth="10" defaultRowHeight="14.5" x14ac:dyDescent="0.35"/>
  <cols>
    <col min="1" max="1" width="3" customWidth="1"/>
    <col min="2" max="2" width="27" customWidth="1"/>
    <col min="3" max="3" width="3" customWidth="1"/>
    <col min="4" max="4" width="27" customWidth="1"/>
    <col min="5" max="5" width="3" customWidth="1"/>
    <col min="6" max="6" width="27" customWidth="1"/>
    <col min="7" max="7" width="3" customWidth="1"/>
  </cols>
  <sheetData>
    <row r="1" ht="12" customHeight="1"/>
    <row r="2" ht="34" customHeight="1">
      <c r="B2" s="1" t="s">
        <v>0</v>
      </c>
      <c r="C2" s="1"/>
      <c r="D2" s="1"/>
      <c r="E2" s="1"/>
      <c r="F2" s="1"/>
    </row>
    <row r="3">
      <c r="B3" s="2" t="s">
        <v>1</v>
      </c>
      <c r="C3" s="2"/>
      <c r="D3" s="2"/>
      <c r="E3" s="2"/>
      <c r="F3" s="2"/>
    </row>
    <row r="5" ht="20" customHeight="1"/>
    <row r="6" ht="20" customHeight="1"/>
    <row r="8" ht="20" customHeight="1"/>
    <row r="9" ht="20" customHeight="1"/>
    <row r="11" ht="20" customHeight="1"/>
    <row r="12" ht="20" customHeight="1"/>
    <row r="14">
      <c r="B14" s="3" t="s">
        <v>2</v>
      </c>
      <c r="C14" s="3"/>
      <c r="D14" s="3"/>
      <c r="E14" s="3"/>
      <c r="F14" s="3"/>
    </row>
    <row r="16">
      <c r="B16" s="4" t="s">
        <v>3</v>
      </c>
      <c r="D16" s="4" t="s">
        <v>4</v>
      </c>
      <c r="F16" s="4" t="s">
        <v>5</v>
      </c>
    </row>
    <row r="17" ht="30" customHeight="1">
      <c r="B17" s="5">
        <v>5</v>
      </c>
      <c r="D17" s="5">
        <v>8</v>
      </c>
      <c r="F17" s="6">
        <v>1</v>
      </c>
    </row>
    <row r="19">
      <c r="B19" s="4" t="s">
        <v>6</v>
      </c>
      <c r="D19" s="4" t="s">
        <v>7</v>
      </c>
      <c r="F19" s="4" t="s">
        <v>8</v>
      </c>
    </row>
    <row r="20" ht="30" customHeight="1">
      <c r="B20" s="5">
        <v>1</v>
      </c>
      <c r="D20" s="7">
        <v>4700.0</v>
      </c>
      <c r="F20" s="7">
        <v>23900.0</v>
      </c>
    </row>
    <row r="22">
      <c r="B22" s="8" t="s">
        <v>9</v>
      </c>
    </row>
    <row r="24">
      <c r="B24" s="3" t="s">
        <v>10</v>
      </c>
      <c r="C24" s="3"/>
      <c r="D24" s="3"/>
      <c r="E24" s="3"/>
      <c r="F24" s="3"/>
    </row>
    <row r="25">
      <c r="B25" s="9" t="s">
        <v>11</v>
      </c>
      <c r="D25" s="10" t="s">
        <v>12</v>
      </c>
      <c r="E25" s="10"/>
      <c r="F25" s="10"/>
    </row>
    <row r="26">
      <c r="B26" s="9" t="s">
        <v>13</v>
      </c>
      <c r="D26" s="10" t="s">
        <v>14</v>
      </c>
      <c r="E26" s="10"/>
      <c r="F26" s="10"/>
    </row>
    <row r="27">
      <c r="B27" s="9" t="s">
        <v>15</v>
      </c>
      <c r="D27" s="10" t="s">
        <v>16</v>
      </c>
      <c r="E27" s="10"/>
      <c r="F27" s="10"/>
    </row>
    <row r="28">
      <c r="B28" s="9" t="s">
        <v>17</v>
      </c>
      <c r="D28" s="10" t="s">
        <v>18</v>
      </c>
      <c r="E28" s="10"/>
      <c r="F28" s="10"/>
    </row>
    <row r="30">
      <c r="B30" s="11" t="s">
        <v>19</v>
      </c>
      <c r="C30" s="11"/>
      <c r="D30" s="11"/>
      <c r="E30" s="11"/>
      <c r="F30" s="11"/>
    </row>
    <row r="31">
      <c r="B31" s="11"/>
      <c r="C31" s="11"/>
      <c r="D31" s="11"/>
      <c r="E31" s="11"/>
      <c r="F31" s="11"/>
    </row>
    <row r="32">
      <c r="B32" s="11"/>
      <c r="C32" s="11"/>
      <c r="D32" s="11"/>
      <c r="E32" s="11"/>
      <c r="F32" s="11"/>
    </row>
  </sheetData>
  <mergeCells count="9">
    <mergeCell ref="B2:F2"/>
    <mergeCell ref="B3:F3"/>
    <mergeCell ref="B14:F14"/>
    <mergeCell ref="B24:F24"/>
    <mergeCell ref="D25:F25"/>
    <mergeCell ref="D26:F26"/>
    <mergeCell ref="D27:F27"/>
    <mergeCell ref="D28:F28"/>
    <mergeCell ref="B30:F32"/>
  </mergeCells>
  <pageMargins left="0.7" right="0.7" top="0.75" bottom="0.75" header="0.3" footer="0.3"/>
  <drawing r:id="rId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2E7D32"/>
  </sheetPr>
  <dimension ref="A1:I30"/>
  <sheetViews>
    <sheetView workbookViewId="0" showGridLines="0">
      <selection activeCell="A1" sqref="A1"/>
    </sheetView>
  </sheetViews>
  <sheetFormatPr baseColWidth="10" defaultRowHeight="14.5" x14ac:dyDescent="0.35"/>
  <cols>
    <col min="1" max="1" width="32" customWidth="1"/>
    <col min="2" max="2" width="11" customWidth="1"/>
    <col min="3" max="3" width="13" customWidth="1"/>
    <col min="4" max="4" width="15" customWidth="1"/>
    <col min="5" max="5" width="13" customWidth="1"/>
    <col min="6" max="6" width="7" customWidth="1"/>
    <col min="7" max="7" width="3" customWidth="1"/>
    <col min="8" max="8" width="21" customWidth="1"/>
    <col min="9" max="9" width="18" customWidth="1"/>
  </cols>
  <sheetData>
    <row r="1" ht="34" customHeight="1">
      <c r="A1" s="1" t="s">
        <v>20</v>
      </c>
      <c r="B1" s="1"/>
      <c r="C1" s="1"/>
      <c r="D1" s="1"/>
      <c r="E1" s="1"/>
      <c r="F1" s="1"/>
    </row>
    <row r="2">
      <c r="A2" s="9" t="s">
        <v>21</v>
      </c>
      <c r="B2" s="12">
        <f>TODAY()</f>
      </c>
      <c r="C2" s="12"/>
    </row>
    <row r="3" ht="22" customHeight="1">
      <c r="A3" s="9" t="s">
        <v>22</v>
      </c>
      <c r="B3" s="10"/>
      <c r="C3" s="10"/>
      <c r="D3" s="10"/>
      <c r="E3" s="13" t="s">
        <v>23</v>
      </c>
      <c r="H3" s="19" t="s">
        <v>24</v>
      </c>
      <c r="I3" s="20">
        <f>ROUND(I5/1.18,2)</f>
        <v>0</v>
      </c>
    </row>
    <row r="4">
      <c r="H4" s="19" t="s">
        <v>25</v>
      </c>
      <c r="I4" s="20">
        <f>I5-I3</f>
        <v>0</v>
      </c>
    </row>
    <row r="5" ht="30" customHeight="1">
      <c r="A5" s="14" t="s">
        <v>26</v>
      </c>
      <c r="B5" s="14" t="s">
        <v>27</v>
      </c>
      <c r="C5" s="14" t="s">
        <v>28</v>
      </c>
      <c r="D5" s="14" t="s">
        <v>29</v>
      </c>
      <c r="E5" s="14" t="s">
        <v>30</v>
      </c>
      <c r="F5" s="14" t="s">
        <v>31</v>
      </c>
      <c r="H5" s="21" t="s">
        <v>32</v>
      </c>
      <c r="I5" s="22">
        <f>SUM(D6:D26)</f>
        <v>0</v>
      </c>
    </row>
    <row r="6">
      <c r="A6" s="10"/>
      <c r="B6" s="15"/>
      <c r="C6" s="16" t="str">
        <f>IF($A6="","",_xlfn.XLOOKUP($A6,Productos[nombre],Productos[precio],""))</f>
        <v/>
      </c>
      <c r="D6" s="16" t="str">
        <f>IF(OR($A6="",$B6="",C6=""),"",$B6*C6)</f>
        <v/>
      </c>
      <c r="E6" s="17" t="str">
        <f>IF($A6="","",_xlfn.XLOOKUP($A6,Productos[nombre],Productos[stock],""))</f>
        <v/>
      </c>
      <c r="F6" s="18" t="str">
        <f>IF($A6="","",_xlfn.XLOOKUP($A6,Productos[nombre],Productos[id_producto],""))</f>
        <v/>
      </c>
      <c r="H6" s="19" t="s">
        <v>33</v>
      </c>
      <c r="I6" s="17" t="str">
        <f>IF(B3="","",_xlfn.XLOOKUP(B3,clientes[nombre],clientes[id_cliente],""))</f>
        <v/>
      </c>
    </row>
    <row r="7">
      <c r="A7" s="10"/>
      <c r="B7" s="15"/>
      <c r="C7" s="16" t="str">
        <f>IF($A7="","",_xlfn.XLOOKUP($A7,Productos[nombre],Productos[precio],""))</f>
        <v/>
      </c>
      <c r="D7" s="16" t="str">
        <f>IF(OR($A7="",$B7="",C7=""),"",$B7*C7)</f>
        <v/>
      </c>
      <c r="E7" s="17" t="str">
        <f>IF($A7="","",_xlfn.XLOOKUP($A7,Productos[nombre],Productos[stock],""))</f>
        <v/>
      </c>
      <c r="F7" s="18" t="str">
        <f>IF($A7="","",_xlfn.XLOOKUP($A7,Productos[nombre],Productos[id_producto],""))</f>
        <v/>
      </c>
      <c r="H7" s="19" t="s">
        <v>34</v>
      </c>
      <c r="I7" s="17">
        <f>COUNTIF(A6:A26,"?*")</f>
        <v>0</v>
      </c>
    </row>
    <row r="8">
      <c r="A8" s="10"/>
      <c r="B8" s="15"/>
      <c r="C8" s="16" t="str">
        <f>IF($A8="","",_xlfn.XLOOKUP($A8,Productos[nombre],Productos[precio],""))</f>
        <v/>
      </c>
      <c r="D8" s="16" t="str">
        <f>IF(OR($A8="",$B8="",C8=""),"",$B8*C8)</f>
        <v/>
      </c>
      <c r="E8" s="17" t="str">
        <f>IF($A8="","",_xlfn.XLOOKUP($A8,Productos[nombre],Productos[stock],""))</f>
        <v/>
      </c>
      <c r="F8" s="18" t="str">
        <f>IF($A8="","",_xlfn.XLOOKUP($A8,Productos[nombre],Productos[id_producto],""))</f>
        <v/>
      </c>
    </row>
    <row r="9">
      <c r="A9" s="10"/>
      <c r="B9" s="15"/>
      <c r="C9" s="16" t="str">
        <f>IF($A9="","",_xlfn.XLOOKUP($A9,Productos[nombre],Productos[precio],""))</f>
        <v/>
      </c>
      <c r="D9" s="16" t="str">
        <f>IF(OR($A9="",$B9="",C9=""),"",$B9*C9)</f>
        <v/>
      </c>
      <c r="E9" s="17" t="str">
        <f>IF($A9="","",_xlfn.XLOOKUP($A9,Productos[nombre],Productos[stock],""))</f>
        <v/>
      </c>
      <c r="F9" s="18" t="str">
        <f>IF($A9="","",_xlfn.XLOOKUP($A9,Productos[nombre],Productos[id_producto],""))</f>
        <v/>
      </c>
    </row>
    <row r="10">
      <c r="A10" s="10"/>
      <c r="B10" s="15"/>
      <c r="C10" s="16" t="str">
        <f>IF($A10="","",_xlfn.XLOOKUP($A10,Productos[nombre],Productos[precio],""))</f>
        <v/>
      </c>
      <c r="D10" s="16" t="str">
        <f>IF(OR($A10="",$B10="",C10=""),"",$B10*C10)</f>
        <v/>
      </c>
      <c r="E10" s="17" t="str">
        <f>IF($A10="","",_xlfn.XLOOKUP($A10,Productos[nombre],Productos[stock],""))</f>
        <v/>
      </c>
      <c r="F10" s="18" t="str">
        <f>IF($A10="","",_xlfn.XLOOKUP($A10,Productos[nombre],Productos[id_producto],""))</f>
        <v/>
      </c>
    </row>
    <row r="11">
      <c r="A11" s="10"/>
      <c r="B11" s="15"/>
      <c r="C11" s="16" t="str">
        <f>IF($A11="","",_xlfn.XLOOKUP($A11,Productos[nombre],Productos[precio],""))</f>
        <v/>
      </c>
      <c r="D11" s="16" t="str">
        <f>IF(OR($A11="",$B11="",C11=""),"",$B11*C11)</f>
        <v/>
      </c>
      <c r="E11" s="17" t="str">
        <f>IF($A11="","",_xlfn.XLOOKUP($A11,Productos[nombre],Productos[stock],""))</f>
        <v/>
      </c>
      <c r="F11" s="18" t="str">
        <f>IF($A11="","",_xlfn.XLOOKUP($A11,Productos[nombre],Productos[id_producto],""))</f>
        <v/>
      </c>
    </row>
    <row r="12">
      <c r="A12" s="10"/>
      <c r="B12" s="15"/>
      <c r="C12" s="16" t="str">
        <f>IF($A12="","",_xlfn.XLOOKUP($A12,Productos[nombre],Productos[precio],""))</f>
        <v/>
      </c>
      <c r="D12" s="16" t="str">
        <f>IF(OR($A12="",$B12="",C12=""),"",$B12*C12)</f>
        <v/>
      </c>
      <c r="E12" s="17" t="str">
        <f>IF($A12="","",_xlfn.XLOOKUP($A12,Productos[nombre],Productos[stock],""))</f>
        <v/>
      </c>
      <c r="F12" s="18" t="str">
        <f>IF($A12="","",_xlfn.XLOOKUP($A12,Productos[nombre],Productos[id_producto],""))</f>
        <v/>
      </c>
    </row>
    <row r="13">
      <c r="A13" s="10"/>
      <c r="B13" s="15"/>
      <c r="C13" s="16" t="str">
        <f>IF($A13="","",_xlfn.XLOOKUP($A13,Productos[nombre],Productos[precio],""))</f>
        <v/>
      </c>
      <c r="D13" s="16" t="str">
        <f>IF(OR($A13="",$B13="",C13=""),"",$B13*C13)</f>
        <v/>
      </c>
      <c r="E13" s="17" t="str">
        <f>IF($A13="","",_xlfn.XLOOKUP($A13,Productos[nombre],Productos[stock],""))</f>
        <v/>
      </c>
      <c r="F13" s="18" t="str">
        <f>IF($A13="","",_xlfn.XLOOKUP($A13,Productos[nombre],Productos[id_producto],""))</f>
        <v/>
      </c>
    </row>
    <row r="14">
      <c r="A14" s="10"/>
      <c r="B14" s="15"/>
      <c r="C14" s="16" t="str">
        <f>IF($A14="","",_xlfn.XLOOKUP($A14,Productos[nombre],Productos[precio],""))</f>
        <v/>
      </c>
      <c r="D14" s="16" t="str">
        <f>IF(OR($A14="",$B14="",C14=""),"",$B14*C14)</f>
        <v/>
      </c>
      <c r="E14" s="17" t="str">
        <f>IF($A14="","",_xlfn.XLOOKUP($A14,Productos[nombre],Productos[stock],""))</f>
        <v/>
      </c>
      <c r="F14" s="18" t="str">
        <f>IF($A14="","",_xlfn.XLOOKUP($A14,Productos[nombre],Productos[id_producto],""))</f>
        <v/>
      </c>
    </row>
    <row r="15">
      <c r="A15" s="10"/>
      <c r="B15" s="15"/>
      <c r="C15" s="16" t="str">
        <f>IF($A15="","",_xlfn.XLOOKUP($A15,Productos[nombre],Productos[precio],""))</f>
        <v/>
      </c>
      <c r="D15" s="16" t="str">
        <f>IF(OR($A15="",$B15="",C15=""),"",$B15*C15)</f>
        <v/>
      </c>
      <c r="E15" s="17" t="str">
        <f>IF($A15="","",_xlfn.XLOOKUP($A15,Productos[nombre],Productos[stock],""))</f>
        <v/>
      </c>
      <c r="F15" s="18" t="str">
        <f>IF($A15="","",_xlfn.XLOOKUP($A15,Productos[nombre],Productos[id_producto],""))</f>
        <v/>
      </c>
    </row>
    <row r="16">
      <c r="A16" s="10"/>
      <c r="B16" s="15"/>
      <c r="C16" s="16" t="str">
        <f>IF($A16="","",_xlfn.XLOOKUP($A16,Productos[nombre],Productos[precio],""))</f>
        <v/>
      </c>
      <c r="D16" s="16" t="str">
        <f>IF(OR($A16="",$B16="",C16=""),"",$B16*C16)</f>
        <v/>
      </c>
      <c r="E16" s="17" t="str">
        <f>IF($A16="","",_xlfn.XLOOKUP($A16,Productos[nombre],Productos[stock],""))</f>
        <v/>
      </c>
      <c r="F16" s="18" t="str">
        <f>IF($A16="","",_xlfn.XLOOKUP($A16,Productos[nombre],Productos[id_producto],""))</f>
        <v/>
      </c>
    </row>
    <row r="17">
      <c r="A17" s="10"/>
      <c r="B17" s="15"/>
      <c r="C17" s="16" t="str">
        <f>IF($A17="","",_xlfn.XLOOKUP($A17,Productos[nombre],Productos[precio],""))</f>
        <v/>
      </c>
      <c r="D17" s="16" t="str">
        <f>IF(OR($A17="",$B17="",C17=""),"",$B17*C17)</f>
        <v/>
      </c>
      <c r="E17" s="17" t="str">
        <f>IF($A17="","",_xlfn.XLOOKUP($A17,Productos[nombre],Productos[stock],""))</f>
        <v/>
      </c>
      <c r="F17" s="18" t="str">
        <f>IF($A17="","",_xlfn.XLOOKUP($A17,Productos[nombre],Productos[id_producto],""))</f>
        <v/>
      </c>
    </row>
    <row r="18">
      <c r="A18" s="10"/>
      <c r="B18" s="15"/>
      <c r="C18" s="16" t="str">
        <f>IF($A18="","",_xlfn.XLOOKUP($A18,Productos[nombre],Productos[precio],""))</f>
        <v/>
      </c>
      <c r="D18" s="16" t="str">
        <f>IF(OR($A18="",$B18="",C18=""),"",$B18*C18)</f>
        <v/>
      </c>
      <c r="E18" s="17" t="str">
        <f>IF($A18="","",_xlfn.XLOOKUP($A18,Productos[nombre],Productos[stock],""))</f>
        <v/>
      </c>
      <c r="F18" s="18" t="str">
        <f>IF($A18="","",_xlfn.XLOOKUP($A18,Productos[nombre],Productos[id_producto],""))</f>
        <v/>
      </c>
    </row>
    <row r="19">
      <c r="A19" s="10"/>
      <c r="B19" s="15"/>
      <c r="C19" s="16" t="str">
        <f>IF($A19="","",_xlfn.XLOOKUP($A19,Productos[nombre],Productos[precio],""))</f>
        <v/>
      </c>
      <c r="D19" s="16" t="str">
        <f>IF(OR($A19="",$B19="",C19=""),"",$B19*C19)</f>
        <v/>
      </c>
      <c r="E19" s="17" t="str">
        <f>IF($A19="","",_xlfn.XLOOKUP($A19,Productos[nombre],Productos[stock],""))</f>
        <v/>
      </c>
      <c r="F19" s="18" t="str">
        <f>IF($A19="","",_xlfn.XLOOKUP($A19,Productos[nombre],Productos[id_producto],""))</f>
        <v/>
      </c>
    </row>
    <row r="20">
      <c r="A20" s="10"/>
      <c r="B20" s="15"/>
      <c r="C20" s="16" t="str">
        <f>IF($A20="","",_xlfn.XLOOKUP($A20,Productos[nombre],Productos[precio],""))</f>
        <v/>
      </c>
      <c r="D20" s="16" t="str">
        <f>IF(OR($A20="",$B20="",C20=""),"",$B20*C20)</f>
        <v/>
      </c>
      <c r="E20" s="17" t="str">
        <f>IF($A20="","",_xlfn.XLOOKUP($A20,Productos[nombre],Productos[stock],""))</f>
        <v/>
      </c>
      <c r="F20" s="18" t="str">
        <f>IF($A20="","",_xlfn.XLOOKUP($A20,Productos[nombre],Productos[id_producto],""))</f>
        <v/>
      </c>
    </row>
    <row r="21">
      <c r="A21" s="10"/>
      <c r="B21" s="15"/>
      <c r="C21" s="16" t="str">
        <f>IF($A21="","",_xlfn.XLOOKUP($A21,Productos[nombre],Productos[precio],""))</f>
        <v/>
      </c>
      <c r="D21" s="16" t="str">
        <f>IF(OR($A21="",$B21="",C21=""),"",$B21*C21)</f>
        <v/>
      </c>
      <c r="E21" s="17" t="str">
        <f>IF($A21="","",_xlfn.XLOOKUP($A21,Productos[nombre],Productos[stock],""))</f>
        <v/>
      </c>
      <c r="F21" s="18" t="str">
        <f>IF($A21="","",_xlfn.XLOOKUP($A21,Productos[nombre],Productos[id_producto],""))</f>
        <v/>
      </c>
    </row>
    <row r="22">
      <c r="A22" s="10"/>
      <c r="B22" s="15"/>
      <c r="C22" s="16" t="str">
        <f>IF($A22="","",_xlfn.XLOOKUP($A22,Productos[nombre],Productos[precio],""))</f>
        <v/>
      </c>
      <c r="D22" s="16" t="str">
        <f>IF(OR($A22="",$B22="",C22=""),"",$B22*C22)</f>
        <v/>
      </c>
      <c r="E22" s="17" t="str">
        <f>IF($A22="","",_xlfn.XLOOKUP($A22,Productos[nombre],Productos[stock],""))</f>
        <v/>
      </c>
      <c r="F22" s="18" t="str">
        <f>IF($A22="","",_xlfn.XLOOKUP($A22,Productos[nombre],Productos[id_producto],""))</f>
        <v/>
      </c>
    </row>
    <row r="23">
      <c r="A23" s="10"/>
      <c r="B23" s="15"/>
      <c r="C23" s="16" t="str">
        <f>IF($A23="","",_xlfn.XLOOKUP($A23,Productos[nombre],Productos[precio],""))</f>
        <v/>
      </c>
      <c r="D23" s="16" t="str">
        <f>IF(OR($A23="",$B23="",C23=""),"",$B23*C23)</f>
        <v/>
      </c>
      <c r="E23" s="17" t="str">
        <f>IF($A23="","",_xlfn.XLOOKUP($A23,Productos[nombre],Productos[stock],""))</f>
        <v/>
      </c>
      <c r="F23" s="18" t="str">
        <f>IF($A23="","",_xlfn.XLOOKUP($A23,Productos[nombre],Productos[id_producto],""))</f>
        <v/>
      </c>
    </row>
    <row r="24">
      <c r="A24" s="10"/>
      <c r="B24" s="15"/>
      <c r="C24" s="16" t="str">
        <f>IF($A24="","",_xlfn.XLOOKUP($A24,Productos[nombre],Productos[precio],""))</f>
        <v/>
      </c>
      <c r="D24" s="16" t="str">
        <f>IF(OR($A24="",$B24="",C24=""),"",$B24*C24)</f>
        <v/>
      </c>
      <c r="E24" s="17" t="str">
        <f>IF($A24="","",_xlfn.XLOOKUP($A24,Productos[nombre],Productos[stock],""))</f>
        <v/>
      </c>
      <c r="F24" s="18" t="str">
        <f>IF($A24="","",_xlfn.XLOOKUP($A24,Productos[nombre],Productos[id_producto],""))</f>
        <v/>
      </c>
    </row>
    <row r="25">
      <c r="A25" s="10"/>
      <c r="B25" s="15"/>
      <c r="C25" s="16" t="str">
        <f>IF($A25="","",_xlfn.XLOOKUP($A25,Productos[nombre],Productos[precio],""))</f>
        <v/>
      </c>
      <c r="D25" s="16" t="str">
        <f>IF(OR($A25="",$B25="",C25=""),"",$B25*C25)</f>
        <v/>
      </c>
      <c r="E25" s="17" t="str">
        <f>IF($A25="","",_xlfn.XLOOKUP($A25,Productos[nombre],Productos[stock],""))</f>
        <v/>
      </c>
      <c r="F25" s="18" t="str">
        <f>IF($A25="","",_xlfn.XLOOKUP($A25,Productos[nombre],Productos[id_producto],""))</f>
        <v/>
      </c>
    </row>
    <row r="26">
      <c r="A26" s="10"/>
      <c r="B26" s="15"/>
      <c r="C26" s="16" t="str">
        <f>IF($A26="","",_xlfn.XLOOKUP($A26,Productos[nombre],Productos[precio],""))</f>
        <v/>
      </c>
      <c r="D26" s="16" t="str">
        <f>IF(OR($A26="",$B26="",C26=""),"",$B26*C26)</f>
        <v/>
      </c>
      <c r="E26" s="17" t="str">
        <f>IF($A26="","",_xlfn.XLOOKUP($A26,Productos[nombre],Productos[stock],""))</f>
        <v/>
      </c>
      <c r="F26" s="18" t="str">
        <f>IF($A26="","",_xlfn.XLOOKUP($A26,Productos[nombre],Productos[id_producto],""))</f>
        <v/>
      </c>
    </row>
    <row r="28">
      <c r="A28" s="11" t="s">
        <v>35</v>
      </c>
      <c r="B28" s="11"/>
      <c r="C28" s="11"/>
      <c r="D28" s="11"/>
      <c r="E28" s="11"/>
      <c r="F28" s="11"/>
    </row>
    <row r="29">
      <c r="A29" s="11"/>
      <c r="B29" s="11"/>
      <c r="C29" s="11"/>
      <c r="D29" s="11"/>
      <c r="E29" s="11"/>
      <c r="F29" s="11"/>
    </row>
    <row r="30">
      <c r="A30" s="11"/>
      <c r="B30" s="11"/>
      <c r="C30" s="11"/>
      <c r="D30" s="11"/>
      <c r="E30" s="11"/>
      <c r="F30" s="11"/>
    </row>
  </sheetData>
  <mergeCells count="4">
    <mergeCell ref="A1:F1"/>
    <mergeCell ref="B2:C2"/>
    <mergeCell ref="B3:D3"/>
    <mergeCell ref="A28:F30"/>
  </mergeCells>
  <conditionalFormatting sqref="B6:E26">
    <cfRule type="expression" dxfId="6" priority="1">
      <formula>AND($B6&lt;&gt;"",ISNUMBER($E6),$B6&gt;$E6)</formula>
    </cfRule>
  </conditionalFormatting>
  <dataValidations count="3">
    <dataValidation type="list" allowBlank="1" showInputMessage="1" showErrorMessage="1" errorTitle="Cliente" error="Seleccione un cliente de la lista." sqref="B3">
      <formula1>ListaClientes</formula1>
    </dataValidation>
    <dataValidation type="list" allowBlank="1" showInputMessage="1" showErrorMessage="1" errorTitle="Producto" error="Seleccione un producto de la lista." sqref="A6:A26">
      <formula1>ListaProductos</formula1>
    </dataValidation>
    <dataValidation type="custom" allowBlank="1" showInputMessage="1" showErrorMessage="1" errorTitle="Cantidad" error="La cantidad debe ser un número entero mayor que cero." sqref="B6:B26">
      <formula1>AND(ISNUMBER(B6),B6=INT(B6),B6&gt;=1)</formula1>
    </dataValidation>
  </dataValidations>
  <pageMargins left="0.7" right="0.7" top="0.75" bottom="0.75" header="0.3" footer="0.3"/>
  <drawing r:id="rId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2563A6"/>
    <pageSetUpPr fitToPage="1"/>
  </sheetPr>
  <dimension ref="A1:E39"/>
  <sheetViews>
    <sheetView workbookViewId="0" showGridLines="0">
      <selection activeCell="A1" sqref="A1"/>
    </sheetView>
  </sheetViews>
  <sheetFormatPr baseColWidth="10" defaultRowHeight="14.5" x14ac:dyDescent="0.35"/>
  <cols>
    <col min="1" max="1" width="11" customWidth="1"/>
    <col min="2" max="2" width="38" customWidth="1"/>
    <col min="3" max="3" width="10" customWidth="1"/>
    <col min="4" max="4" width="15" customWidth="1"/>
    <col min="5" max="5" width="18" customWidth="1"/>
    <col min="6" max="6" width="3" customWidth="1"/>
    <col min="7" max="7" width="20" customWidth="1"/>
  </cols>
  <sheetData>
    <row r="1" ht="30" customHeight="1">
      <c r="A1" s="23" t="str">
        <f>NegocioNombre</f>
        <v>Mi Negocio, S.R.L.</v>
      </c>
      <c r="B1" s="23"/>
      <c r="C1" s="23"/>
      <c r="D1" s="25" t="s">
        <v>36</v>
      </c>
      <c r="E1" s="25"/>
    </row>
    <row r="2">
      <c r="A2" s="24" t="str">
        <f>"RNC: "&amp;NegocioRNC</f>
        <v>RNC: 000-00000-0</v>
      </c>
      <c r="B2" s="24"/>
      <c r="C2" s="24"/>
      <c r="D2" s="26" t="s">
        <v>37</v>
      </c>
      <c r="E2" s="27" t="s">
        <v>38</v>
      </c>
    </row>
    <row r="3">
      <c r="A3" s="24" t="str">
        <f>NegocioDireccion</f>
        <v>La Romana, República Dominicana</v>
      </c>
      <c r="B3" s="24"/>
      <c r="C3" s="24"/>
      <c r="D3" s="26" t="s">
        <v>21</v>
      </c>
      <c r="E3" s="28">
        <v>46292.98888028105</v>
      </c>
    </row>
    <row r="4">
      <c r="A4" s="24" t="str">
        <f>"Tel.: "&amp;NegocioTelefono</f>
        <v>Tel.: 809-000-0000</v>
      </c>
      <c r="B4" s="24"/>
      <c r="C4" s="24"/>
      <c r="D4" s="26" t="s">
        <v>39</v>
      </c>
      <c r="E4" s="29" t="s">
        <v>40</v>
      </c>
    </row>
    <row r="6" ht="20" customHeight="1">
      <c r="A6" s="30" t="s">
        <v>41</v>
      </c>
      <c r="B6" s="30"/>
      <c r="C6" s="30"/>
      <c r="D6" s="30"/>
      <c r="E6" s="30"/>
    </row>
    <row r="7">
      <c r="A7" s="31" t="s">
        <v>42</v>
      </c>
      <c r="B7" t="s">
        <v>43</v>
      </c>
      <c r="C7"/>
    </row>
    <row r="8">
      <c r="A8" s="31" t="s">
        <v>44</v>
      </c>
      <c r="B8" t="s">
        <v>45</v>
      </c>
      <c r="C8"/>
    </row>
    <row r="9">
      <c r="A9" s="31" t="s">
        <v>46</v>
      </c>
      <c r="B9"/>
      <c r="C9"/>
    </row>
    <row r="11" ht="20" customHeight="1">
      <c r="A11" s="14" t="s">
        <v>47</v>
      </c>
      <c r="B11" s="14" t="s">
        <v>48</v>
      </c>
      <c r="C11" s="14" t="s">
        <v>49</v>
      </c>
      <c r="D11" s="14" t="s">
        <v>28</v>
      </c>
      <c r="E11" s="14" t="s">
        <v>50</v>
      </c>
    </row>
    <row r="12">
      <c r="A12" s="32">
        <v>6</v>
      </c>
      <c r="B12" s="33" t="s">
        <v>51</v>
      </c>
      <c r="C12" s="32">
        <v>1</v>
      </c>
      <c r="D12" s="34">
        <v>3200.0</v>
      </c>
      <c r="E12" s="34">
        <v>3200.0</v>
      </c>
    </row>
    <row r="13">
      <c r="A13" s="32">
        <v>1</v>
      </c>
      <c r="B13" s="33" t="s">
        <v>52</v>
      </c>
      <c r="C13" s="32">
        <v>1</v>
      </c>
      <c r="D13" s="34">
        <v>1500.0</v>
      </c>
      <c r="E13" s="34">
        <v>1500.0</v>
      </c>
    </row>
    <row r="14">
      <c r="A14" s="32"/>
      <c r="B14" s="33"/>
      <c r="C14" s="32"/>
      <c r="D14" s="34"/>
      <c r="E14" s="34"/>
    </row>
    <row r="15">
      <c r="A15" s="32"/>
      <c r="B15" s="33"/>
      <c r="C15" s="32"/>
      <c r="D15" s="34"/>
      <c r="E15" s="34"/>
    </row>
    <row r="16">
      <c r="A16" s="32"/>
      <c r="B16" s="33"/>
      <c r="C16" s="32"/>
      <c r="D16" s="34"/>
      <c r="E16" s="34"/>
    </row>
    <row r="17">
      <c r="A17" s="32"/>
      <c r="B17" s="33"/>
      <c r="C17" s="32"/>
      <c r="D17" s="34"/>
      <c r="E17" s="34"/>
    </row>
    <row r="18">
      <c r="A18" s="32"/>
      <c r="B18" s="33"/>
      <c r="C18" s="32"/>
      <c r="D18" s="34"/>
      <c r="E18" s="34"/>
    </row>
    <row r="19">
      <c r="A19" s="32"/>
      <c r="B19" s="33"/>
      <c r="C19" s="32"/>
      <c r="D19" s="34"/>
      <c r="E19" s="34"/>
    </row>
    <row r="20">
      <c r="A20" s="32"/>
      <c r="B20" s="33"/>
      <c r="C20" s="32"/>
      <c r="D20" s="34"/>
      <c r="E20" s="34"/>
    </row>
    <row r="21">
      <c r="A21" s="32"/>
      <c r="B21" s="33"/>
      <c r="C21" s="32"/>
      <c r="D21" s="34"/>
      <c r="E21" s="34"/>
    </row>
    <row r="22">
      <c r="A22" s="32"/>
      <c r="B22" s="33"/>
      <c r="C22" s="32"/>
      <c r="D22" s="34"/>
      <c r="E22" s="34"/>
    </row>
    <row r="23">
      <c r="A23" s="32"/>
      <c r="B23" s="33"/>
      <c r="C23" s="32"/>
      <c r="D23" s="34"/>
      <c r="E23" s="34"/>
    </row>
    <row r="24">
      <c r="A24" s="32"/>
      <c r="B24" s="33"/>
      <c r="C24" s="32"/>
      <c r="D24" s="34"/>
      <c r="E24" s="34"/>
    </row>
    <row r="25">
      <c r="A25" s="32"/>
      <c r="B25" s="33"/>
      <c r="C25" s="32"/>
      <c r="D25" s="34"/>
      <c r="E25" s="34"/>
    </row>
    <row r="26">
      <c r="A26" s="32"/>
      <c r="B26" s="33"/>
      <c r="C26" s="32"/>
      <c r="D26" s="34"/>
      <c r="E26" s="34"/>
    </row>
    <row r="27">
      <c r="A27" s="32"/>
      <c r="B27" s="33"/>
      <c r="C27" s="32"/>
      <c r="D27" s="34"/>
      <c r="E27" s="34"/>
    </row>
    <row r="28">
      <c r="A28" s="32"/>
      <c r="B28" s="33"/>
      <c r="C28" s="32"/>
      <c r="D28" s="34"/>
      <c r="E28" s="34"/>
    </row>
    <row r="29">
      <c r="A29" s="32"/>
      <c r="B29" s="33"/>
      <c r="C29" s="32"/>
      <c r="D29" s="34"/>
      <c r="E29" s="34"/>
    </row>
    <row r="30">
      <c r="A30" s="32"/>
      <c r="B30" s="33"/>
      <c r="C30" s="32"/>
      <c r="D30" s="34"/>
      <c r="E30" s="34"/>
    </row>
    <row r="31">
      <c r="A31" s="32"/>
      <c r="B31" s="33"/>
      <c r="C31" s="32"/>
      <c r="D31" s="34"/>
      <c r="E31" s="34"/>
    </row>
    <row r="32">
      <c r="A32" s="32"/>
      <c r="B32" s="33"/>
      <c r="C32" s="32"/>
      <c r="D32" s="34"/>
      <c r="E32" s="34"/>
    </row>
    <row r="34">
      <c r="D34" s="26" t="s">
        <v>24</v>
      </c>
      <c r="E34" s="35">
        <v>3983.05</v>
      </c>
    </row>
    <row r="35">
      <c r="D35" s="26" t="s">
        <v>53</v>
      </c>
      <c r="E35" s="35">
        <v>716.95</v>
      </c>
    </row>
    <row r="36" ht="22" customHeight="1">
      <c r="D36" s="36" t="s">
        <v>32</v>
      </c>
      <c r="E36" s="37">
        <v>4700.0</v>
      </c>
    </row>
    <row r="38">
      <c r="A38" s="38" t="s">
        <v>54</v>
      </c>
      <c r="B38" s="38"/>
      <c r="C38" s="38"/>
      <c r="D38" s="38"/>
      <c r="E38" s="38"/>
    </row>
    <row r="39">
      <c r="A39" s="39" t="s">
        <v>55</v>
      </c>
      <c r="B39" s="39"/>
      <c r="C39" s="39"/>
      <c r="D39" s="39"/>
      <c r="E39" s="39"/>
    </row>
  </sheetData>
  <mergeCells count="11">
    <mergeCell ref="A1:C1"/>
    <mergeCell ref="A2:C2"/>
    <mergeCell ref="A3:C3"/>
    <mergeCell ref="A4:C4"/>
    <mergeCell ref="D1:E1"/>
    <mergeCell ref="A6:E6"/>
    <mergeCell ref="B7:C7"/>
    <mergeCell ref="B8:C8"/>
    <mergeCell ref="B9:C9"/>
    <mergeCell ref="A38:E38"/>
    <mergeCell ref="A39:E39"/>
  </mergeCells>
  <conditionalFormatting sqref="E4">
    <cfRule type="expression" dxfId="7" priority="1">
      <formula>$E$4="ANULADA"</formula>
    </cfRule>
  </conditionalFormatting>
  <conditionalFormatting sqref="A12:E36">
    <cfRule type="expression" dxfId="8" priority="2">
      <formula>$E$4="ANULADA"</formula>
    </cfRule>
  </conditionalFormatting>
  <printOptions horizontalCentered="1"/>
  <pageMargins left="0.5" right="0.5" top="0.6" bottom="0.6" header="0.3" footer="0.3"/>
  <pageSetup paperSize="1" orientation="portrait" fitToWidth="1" fitToHeight="1"/>
  <drawing r:id="rId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2563A6"/>
  </sheetPr>
  <dimension ref="A1:K18"/>
  <sheetViews>
    <sheetView workbookViewId="0" showGridLines="0">
      <selection activeCell="A1" sqref="A1"/>
    </sheetView>
  </sheetViews>
  <sheetFormatPr baseColWidth="10" defaultRowHeight="14.5" x14ac:dyDescent="0.35"/>
  <cols>
    <col min="1" max="1" width="9" customWidth="1"/>
    <col min="2" max="2" width="13" customWidth="1"/>
    <col min="3" max="3" width="17" customWidth="1"/>
    <col min="4" max="4" width="28" customWidth="1"/>
    <col min="5" max="5" width="10" customWidth="1"/>
    <col min="6" max="6" width="13" customWidth="1"/>
    <col min="7" max="7" width="12" customWidth="1"/>
    <col min="8" max="8" width="14" customWidth="1"/>
    <col min="9" max="9" width="11" customWidth="1"/>
    <col min="10" max="10" width="3" customWidth="1"/>
    <col min="11" max="11" width="22" customWidth="1"/>
  </cols>
  <sheetData>
    <row r="1" ht="34" customHeight="1">
      <c r="A1" s="1" t="s">
        <v>56</v>
      </c>
      <c r="B1" s="1"/>
      <c r="C1" s="1"/>
      <c r="D1" s="1"/>
      <c r="E1" s="1"/>
      <c r="F1" s="1"/>
      <c r="G1" s="1"/>
      <c r="H1" s="1"/>
      <c r="I1" s="1"/>
    </row>
    <row r="3">
      <c r="A3" s="9" t="s">
        <v>57</v>
      </c>
      <c r="B3" s="40"/>
      <c r="C3" s="41" t="s">
        <v>58</v>
      </c>
      <c r="D3" s="40"/>
      <c r="E3" s="41" t="s">
        <v>42</v>
      </c>
      <c r="F3" s="10"/>
      <c r="G3" s="10"/>
      <c r="H3" s="13" t="s">
        <v>59</v>
      </c>
    </row>
    <row r="5" ht="22" customHeight="1">
      <c r="A5" s="14" t="s">
        <v>60</v>
      </c>
      <c r="B5" s="14" t="s">
        <v>61</v>
      </c>
      <c r="C5" s="14" t="s">
        <v>62</v>
      </c>
      <c r="D5" s="14" t="s">
        <v>22</v>
      </c>
      <c r="E5" s="14" t="s">
        <v>63</v>
      </c>
      <c r="F5" s="14" t="s">
        <v>29</v>
      </c>
      <c r="G5" s="14" t="s">
        <v>64</v>
      </c>
      <c r="H5" s="14" t="s">
        <v>65</v>
      </c>
      <c r="I5" s="14" t="s">
        <v>66</v>
      </c>
    </row>
    <row r="6">
      <c r="A6" s="17">
        <v>6</v>
      </c>
      <c r="B6" s="17" t="s">
        <v>67</v>
      </c>
      <c r="C6" s="42">
        <v>46292.98888028105</v>
      </c>
      <c r="D6" s="43" t="s">
        <v>68</v>
      </c>
      <c r="E6" s="17">
        <v>1</v>
      </c>
      <c r="F6" s="16">
        <v>1779.66</v>
      </c>
      <c r="G6" s="16">
        <v>320.34</v>
      </c>
      <c r="H6" s="16">
        <v>2100.0</v>
      </c>
      <c r="I6" s="17" t="s">
        <v>69</v>
      </c>
    </row>
    <row r="7">
      <c r="A7" s="17">
        <v>5</v>
      </c>
      <c r="B7" s="17" t="s">
        <v>38</v>
      </c>
      <c r="C7" s="42">
        <v>46292.98888028105</v>
      </c>
      <c r="D7" s="43" t="s">
        <v>43</v>
      </c>
      <c r="E7" s="17">
        <v>2</v>
      </c>
      <c r="F7" s="16">
        <v>3983.05</v>
      </c>
      <c r="G7" s="16">
        <v>716.95</v>
      </c>
      <c r="H7" s="16">
        <v>4700.0</v>
      </c>
      <c r="I7" s="17" t="s">
        <v>40</v>
      </c>
    </row>
    <row r="8">
      <c r="A8" s="17">
        <v>4</v>
      </c>
      <c r="B8" s="17" t="s">
        <v>70</v>
      </c>
      <c r="C8" s="42">
        <v>46291.98888028105</v>
      </c>
      <c r="D8" s="43" t="s">
        <v>68</v>
      </c>
      <c r="E8" s="17">
        <v>3</v>
      </c>
      <c r="F8" s="16">
        <v>1822.03</v>
      </c>
      <c r="G8" s="16">
        <v>327.97</v>
      </c>
      <c r="H8" s="16">
        <v>2150.0</v>
      </c>
      <c r="I8" s="17" t="s">
        <v>40</v>
      </c>
    </row>
    <row r="9">
      <c r="A9" s="17">
        <v>3</v>
      </c>
      <c r="B9" s="17" t="s">
        <v>71</v>
      </c>
      <c r="C9" s="42">
        <v>46290.98888028105</v>
      </c>
      <c r="D9" s="43" t="s">
        <v>72</v>
      </c>
      <c r="E9" s="17">
        <v>6</v>
      </c>
      <c r="F9" s="16">
        <v>3983.05</v>
      </c>
      <c r="G9" s="16">
        <v>716.95</v>
      </c>
      <c r="H9" s="16">
        <v>4700.0</v>
      </c>
      <c r="I9" s="17" t="s">
        <v>40</v>
      </c>
    </row>
    <row r="10">
      <c r="A10" s="17">
        <v>2</v>
      </c>
      <c r="B10" s="17" t="s">
        <v>73</v>
      </c>
      <c r="C10" s="42">
        <v>46288.98888028105</v>
      </c>
      <c r="D10" s="43" t="s">
        <v>74</v>
      </c>
      <c r="E10" s="17">
        <v>1</v>
      </c>
      <c r="F10" s="16">
        <v>7203.39</v>
      </c>
      <c r="G10" s="16">
        <v>1296.61</v>
      </c>
      <c r="H10" s="16">
        <v>8500.0</v>
      </c>
      <c r="I10" s="17" t="s">
        <v>40</v>
      </c>
    </row>
    <row r="11">
      <c r="A11" s="17">
        <v>1</v>
      </c>
      <c r="B11" s="17" t="s">
        <v>75</v>
      </c>
      <c r="C11" s="42">
        <v>46286.98888028105</v>
      </c>
      <c r="D11" s="43" t="s">
        <v>76</v>
      </c>
      <c r="E11" s="17">
        <v>3</v>
      </c>
      <c r="F11" s="16">
        <v>3262.71</v>
      </c>
      <c r="G11" s="16">
        <v>587.29</v>
      </c>
      <c r="H11" s="16">
        <v>3850.0</v>
      </c>
      <c r="I11" s="17" t="s">
        <v>40</v>
      </c>
    </row>
    <row r="14">
      <c r="K14" s="11" t="s">
        <v>77</v>
      </c>
    </row>
    <row r="15">
      <c r="K15" s="11"/>
    </row>
    <row r="16">
      <c r="K16" s="11"/>
    </row>
    <row r="17">
      <c r="K17" s="11"/>
    </row>
    <row r="18">
      <c r="K18" s="11"/>
    </row>
  </sheetData>
  <mergeCells count="3">
    <mergeCell ref="A1:I1"/>
    <mergeCell ref="F3:G3"/>
    <mergeCell ref="K14:K18"/>
  </mergeCells>
  <conditionalFormatting sqref="A6:I5000">
    <cfRule type="expression" dxfId="9" priority="1">
      <formula>$I6="ANULADA"</formula>
    </cfRule>
  </conditionalFormatting>
  <dataValidations count="2">
    <dataValidation type="date" operator="greaterThan" allowBlank="1" showErrorMessage="1" errorTitle="Fecha" error="Escriba una fecha válida (dd/mm/aaaa)." sqref="B3">
      <formula1>1</formula1>
    </dataValidation>
    <dataValidation type="date" operator="greaterThan" allowBlank="1" showErrorMessage="1" errorTitle="Fecha" error="Escriba una fecha válida (dd/mm/aaaa)." sqref="D3">
      <formula1>1</formula1>
    </dataValidation>
  </dataValidations>
  <pageMargins left="0.7" right="0.7" top="0.75" bottom="0.75" header="0.3" footer="0.3"/>
  <drawing r:id="rId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2563A6"/>
  </sheetPr>
  <dimension ref="A1:R30"/>
  <sheetViews>
    <sheetView workbookViewId="0" showGridLines="0">
      <selection activeCell="A1" sqref="A1"/>
    </sheetView>
  </sheetViews>
  <sheetFormatPr baseColWidth="10" defaultRowHeight="14.5" x14ac:dyDescent="0.35"/>
  <cols>
    <col min="1" max="1" width="14" customWidth="1"/>
    <col min="2" max="2" width="12" customWidth="1"/>
    <col min="3" max="3" width="14" customWidth="1"/>
    <col min="4" max="4" width="3" customWidth="1"/>
    <col min="5" max="5" width="26" customWidth="1"/>
    <col min="6" max="6" width="14" customWidth="1"/>
    <col min="7" max="7" width="15" customWidth="1"/>
    <col min="8" max="8" width="3" customWidth="1"/>
    <col min="9" max="9" width="24" customWidth="1"/>
    <col min="10" max="10" width="16" customWidth="1"/>
    <col min="11" max="11" width="9" customWidth="1"/>
    <col min="12" max="12" width="3" customWidth="1"/>
    <col min="13" max="13" width="16" customWidth="1"/>
    <col min="14" max="14" width="22" customWidth="1"/>
    <col min="15" max="15" width="12" customWidth="1"/>
    <col min="16" max="16" width="9" customWidth="1"/>
    <col min="17" max="17" width="9" customWidth="1"/>
    <col min="18" max="18" width="26" customWidth="1"/>
  </cols>
  <sheetData>
    <row r="1" ht="34" customHeight="1">
      <c r="A1" s="1" t="s">
        <v>78</v>
      </c>
      <c r="B1" s="1"/>
      <c r="C1" s="1"/>
      <c r="D1" s="1"/>
      <c r="E1" s="1"/>
      <c r="F1" s="1"/>
      <c r="G1" s="1"/>
    </row>
    <row r="2">
      <c r="A2" s="8" t="s">
        <v>79</v>
      </c>
    </row>
    <row r="3">
      <c r="A3" s="9" t="s">
        <v>57</v>
      </c>
      <c r="B3" s="40">
        <v>46266.0</v>
      </c>
    </row>
    <row r="4">
      <c r="A4" s="9" t="s">
        <v>58</v>
      </c>
      <c r="B4" s="40">
        <v>46292.0</v>
      </c>
    </row>
    <row r="6">
      <c r="A6" s="4" t="s">
        <v>80</v>
      </c>
      <c r="B6" s="4" t="s">
        <v>29</v>
      </c>
      <c r="C6" s="4" t="s">
        <v>64</v>
      </c>
      <c r="E6" s="4" t="s">
        <v>81</v>
      </c>
      <c r="F6" s="4" t="s">
        <v>82</v>
      </c>
      <c r="G6" s="4" t="s">
        <v>83</v>
      </c>
    </row>
    <row r="7" ht="28" customHeight="1">
      <c r="A7" s="44">
        <v>5</v>
      </c>
      <c r="B7" s="45">
        <v>20254.23</v>
      </c>
      <c r="C7" s="45">
        <v>3645.77</v>
      </c>
      <c r="E7" s="46">
        <v>23900.0</v>
      </c>
      <c r="F7" s="45">
        <v>4780.0</v>
      </c>
      <c r="G7" s="47">
        <v>1</v>
      </c>
    </row>
    <row r="9" ht="20" customHeight="1">
      <c r="A9" s="3" t="s">
        <v>84</v>
      </c>
      <c r="B9" s="3"/>
      <c r="C9" s="3"/>
      <c r="E9" s="3" t="s">
        <v>85</v>
      </c>
      <c r="F9" s="3"/>
      <c r="G9" s="3"/>
      <c r="I9" s="3" t="s">
        <v>86</v>
      </c>
      <c r="J9" s="3"/>
      <c r="K9" s="3"/>
      <c r="M9" s="3" t="s">
        <v>87</v>
      </c>
      <c r="N9" s="3"/>
      <c r="O9" s="3"/>
      <c r="P9" s="3"/>
      <c r="Q9" s="3"/>
      <c r="R9" s="3"/>
    </row>
    <row r="10" ht="30" customHeight="1">
      <c r="A10" s="14" t="s">
        <v>62</v>
      </c>
      <c r="B10" s="14" t="s">
        <v>80</v>
      </c>
      <c r="C10" s="14" t="s">
        <v>65</v>
      </c>
      <c r="E10" s="14" t="s">
        <v>26</v>
      </c>
      <c r="F10" s="14" t="s">
        <v>27</v>
      </c>
      <c r="G10" s="14" t="s">
        <v>88</v>
      </c>
      <c r="I10" s="14" t="s">
        <v>26</v>
      </c>
      <c r="J10" s="14" t="s">
        <v>89</v>
      </c>
      <c r="K10" s="14" t="s">
        <v>90</v>
      </c>
      <c r="M10" s="14" t="s">
        <v>62</v>
      </c>
      <c r="N10" s="14" t="s">
        <v>26</v>
      </c>
      <c r="O10" s="14" t="s">
        <v>91</v>
      </c>
      <c r="P10" s="14" t="s">
        <v>49</v>
      </c>
      <c r="Q10" s="14" t="s">
        <v>90</v>
      </c>
      <c r="R10" s="14" t="s">
        <v>92</v>
      </c>
    </row>
    <row r="11">
      <c r="A11" s="48">
        <v>46286.0</v>
      </c>
      <c r="B11" s="17">
        <v>1</v>
      </c>
      <c r="C11" s="16">
        <v>3850.0</v>
      </c>
      <c r="E11" s="43" t="s">
        <v>93</v>
      </c>
      <c r="F11" s="17">
        <v>5</v>
      </c>
      <c r="G11" s="16">
        <v>3250.0</v>
      </c>
      <c r="I11" s="43" t="s">
        <v>94</v>
      </c>
      <c r="J11" s="43" t="s">
        <v>95</v>
      </c>
      <c r="K11" s="17">
        <v>3</v>
      </c>
      <c r="M11" s="42">
        <v>46292.98888028105</v>
      </c>
      <c r="N11" s="43" t="s">
        <v>96</v>
      </c>
      <c r="O11" s="17" t="s">
        <v>97</v>
      </c>
      <c r="P11" s="17">
        <v>1</v>
      </c>
      <c r="Q11" s="17">
        <v>6</v>
      </c>
      <c r="R11" s="43" t="s">
        <v>98</v>
      </c>
    </row>
    <row r="12">
      <c r="A12" s="48">
        <v>46288.0</v>
      </c>
      <c r="B12" s="17">
        <v>1</v>
      </c>
      <c r="C12" s="16">
        <v>8500.0</v>
      </c>
      <c r="E12" s="43" t="s">
        <v>52</v>
      </c>
      <c r="F12" s="17">
        <v>3</v>
      </c>
      <c r="G12" s="16">
        <v>4500.0</v>
      </c>
      <c r="M12" s="42">
        <v>46292.98888028105</v>
      </c>
      <c r="N12" s="43" t="s">
        <v>96</v>
      </c>
      <c r="O12" s="17" t="s">
        <v>99</v>
      </c>
      <c r="P12" s="17">
        <v>-1</v>
      </c>
      <c r="Q12" s="17">
        <v>5</v>
      </c>
      <c r="R12" s="43" t="s">
        <v>100</v>
      </c>
    </row>
    <row r="13">
      <c r="A13" s="48">
        <v>46290.0</v>
      </c>
      <c r="B13" s="17">
        <v>1</v>
      </c>
      <c r="C13" s="16">
        <v>4700.0</v>
      </c>
      <c r="E13" s="43" t="s">
        <v>101</v>
      </c>
      <c r="F13" s="17">
        <v>2</v>
      </c>
      <c r="G13" s="16">
        <v>2400.0</v>
      </c>
      <c r="M13" s="42">
        <v>46292.98888028105</v>
      </c>
      <c r="N13" s="43" t="s">
        <v>52</v>
      </c>
      <c r="O13" s="17" t="s">
        <v>99</v>
      </c>
      <c r="P13" s="17">
        <v>-1</v>
      </c>
      <c r="Q13" s="17">
        <v>17</v>
      </c>
      <c r="R13" s="43" t="s">
        <v>102</v>
      </c>
    </row>
    <row r="14">
      <c r="A14" s="48">
        <v>46291.0</v>
      </c>
      <c r="B14" s="17">
        <v>1</v>
      </c>
      <c r="C14" s="16">
        <v>2150.0</v>
      </c>
      <c r="E14" s="43" t="s">
        <v>103</v>
      </c>
      <c r="F14" s="17">
        <v>2</v>
      </c>
      <c r="G14" s="16">
        <v>1700.0</v>
      </c>
      <c r="M14" s="42">
        <v>46292.98888028105</v>
      </c>
      <c r="N14" s="43" t="s">
        <v>51</v>
      </c>
      <c r="O14" s="17" t="s">
        <v>99</v>
      </c>
      <c r="P14" s="17">
        <v>-1</v>
      </c>
      <c r="Q14" s="17">
        <v>9</v>
      </c>
      <c r="R14" s="43" t="s">
        <v>102</v>
      </c>
    </row>
    <row r="15">
      <c r="A15" s="48">
        <v>46292.0</v>
      </c>
      <c r="B15" s="17">
        <v>1</v>
      </c>
      <c r="C15" s="16">
        <v>4700.0</v>
      </c>
      <c r="E15" s="43" t="s">
        <v>104</v>
      </c>
      <c r="F15" s="17">
        <v>1</v>
      </c>
      <c r="G15" s="16">
        <v>8500.0</v>
      </c>
      <c r="M15" s="42">
        <v>46291.98888028105</v>
      </c>
      <c r="N15" s="43" t="s">
        <v>103</v>
      </c>
      <c r="O15" s="17" t="s">
        <v>99</v>
      </c>
      <c r="P15" s="17">
        <v>-1</v>
      </c>
      <c r="Q15" s="17">
        <v>23</v>
      </c>
      <c r="R15" s="43" t="s">
        <v>105</v>
      </c>
    </row>
    <row r="16">
      <c r="E16" s="43" t="s">
        <v>51</v>
      </c>
      <c r="F16" s="17">
        <v>1</v>
      </c>
      <c r="G16" s="16">
        <v>3200.0</v>
      </c>
      <c r="M16" s="42">
        <v>46291.98888028105</v>
      </c>
      <c r="N16" s="43" t="s">
        <v>93</v>
      </c>
      <c r="O16" s="17" t="s">
        <v>99</v>
      </c>
      <c r="P16" s="17">
        <v>-2</v>
      </c>
      <c r="Q16" s="17">
        <v>25</v>
      </c>
      <c r="R16" s="43" t="s">
        <v>105</v>
      </c>
    </row>
    <row r="17">
      <c r="E17" s="43" t="s">
        <v>94</v>
      </c>
      <c r="F17" s="17">
        <v>1</v>
      </c>
      <c r="G17" s="16">
        <v>350.0</v>
      </c>
      <c r="M17" s="42">
        <v>46290.98888028105</v>
      </c>
      <c r="N17" s="43" t="s">
        <v>94</v>
      </c>
      <c r="O17" s="17" t="s">
        <v>99</v>
      </c>
      <c r="P17" s="17">
        <v>-1</v>
      </c>
      <c r="Q17" s="17">
        <v>3</v>
      </c>
      <c r="R17" s="43" t="s">
        <v>106</v>
      </c>
    </row>
    <row r="18">
      <c r="M18" s="42">
        <v>46290.98888028105</v>
      </c>
      <c r="N18" s="43" t="s">
        <v>93</v>
      </c>
      <c r="O18" s="17" t="s">
        <v>99</v>
      </c>
      <c r="P18" s="17">
        <v>-3</v>
      </c>
      <c r="Q18" s="17">
        <v>27</v>
      </c>
      <c r="R18" s="43" t="s">
        <v>106</v>
      </c>
    </row>
    <row r="19">
      <c r="M19" s="42">
        <v>46290.98888028105</v>
      </c>
      <c r="N19" s="43" t="s">
        <v>101</v>
      </c>
      <c r="O19" s="17" t="s">
        <v>99</v>
      </c>
      <c r="P19" s="17">
        <v>-2</v>
      </c>
      <c r="Q19" s="17">
        <v>10</v>
      </c>
      <c r="R19" s="43" t="s">
        <v>106</v>
      </c>
    </row>
    <row r="20">
      <c r="M20" s="42">
        <v>46288.98888028105</v>
      </c>
      <c r="N20" s="43" t="s">
        <v>104</v>
      </c>
      <c r="O20" s="17" t="s">
        <v>99</v>
      </c>
      <c r="P20" s="17">
        <v>-1</v>
      </c>
      <c r="Q20" s="17">
        <v>7</v>
      </c>
      <c r="R20" s="43" t="s">
        <v>107</v>
      </c>
    </row>
    <row r="21">
      <c r="M21" s="42">
        <v>46286.98888028105</v>
      </c>
      <c r="N21" s="43" t="s">
        <v>103</v>
      </c>
      <c r="O21" s="17" t="s">
        <v>99</v>
      </c>
      <c r="P21" s="17">
        <v>-1</v>
      </c>
      <c r="Q21" s="17">
        <v>24</v>
      </c>
      <c r="R21" s="43" t="s">
        <v>108</v>
      </c>
    </row>
    <row r="22">
      <c r="M22" s="42">
        <v>46286.98888028105</v>
      </c>
      <c r="N22" s="43" t="s">
        <v>52</v>
      </c>
      <c r="O22" s="17" t="s">
        <v>99</v>
      </c>
      <c r="P22" s="17">
        <v>-2</v>
      </c>
      <c r="Q22" s="17">
        <v>18</v>
      </c>
      <c r="R22" s="43" t="s">
        <v>108</v>
      </c>
    </row>
    <row r="23">
      <c r="M23" s="42">
        <v>46292.98888024165</v>
      </c>
      <c r="N23" s="43" t="s">
        <v>96</v>
      </c>
      <c r="O23" s="17" t="s">
        <v>109</v>
      </c>
      <c r="P23" s="17">
        <v>6</v>
      </c>
      <c r="Q23" s="17">
        <v>6</v>
      </c>
      <c r="R23" s="43" t="s">
        <v>110</v>
      </c>
    </row>
    <row r="24">
      <c r="M24" s="42">
        <v>46292.98888024165</v>
      </c>
      <c r="N24" s="43" t="s">
        <v>94</v>
      </c>
      <c r="O24" s="17" t="s">
        <v>109</v>
      </c>
      <c r="P24" s="17">
        <v>4</v>
      </c>
      <c r="Q24" s="17">
        <v>4</v>
      </c>
      <c r="R24" s="43" t="s">
        <v>110</v>
      </c>
    </row>
    <row r="25">
      <c r="M25" s="42">
        <v>46292.98888024165</v>
      </c>
      <c r="N25" s="43" t="s">
        <v>51</v>
      </c>
      <c r="O25" s="17" t="s">
        <v>109</v>
      </c>
      <c r="P25" s="17">
        <v>10</v>
      </c>
      <c r="Q25" s="17">
        <v>10</v>
      </c>
      <c r="R25" s="43" t="s">
        <v>110</v>
      </c>
    </row>
    <row r="26">
      <c r="M26" s="42">
        <v>46292.98888024165</v>
      </c>
      <c r="N26" s="43" t="s">
        <v>93</v>
      </c>
      <c r="O26" s="17" t="s">
        <v>109</v>
      </c>
      <c r="P26" s="17">
        <v>30</v>
      </c>
      <c r="Q26" s="17">
        <v>30</v>
      </c>
      <c r="R26" s="43" t="s">
        <v>110</v>
      </c>
    </row>
    <row r="27">
      <c r="M27" s="42">
        <v>46292.98888024165</v>
      </c>
      <c r="N27" s="43" t="s">
        <v>101</v>
      </c>
      <c r="O27" s="17" t="s">
        <v>109</v>
      </c>
      <c r="P27" s="17">
        <v>12</v>
      </c>
      <c r="Q27" s="17">
        <v>12</v>
      </c>
      <c r="R27" s="43" t="s">
        <v>110</v>
      </c>
    </row>
    <row r="28">
      <c r="M28" s="42">
        <v>46292.98888024165</v>
      </c>
      <c r="N28" s="43" t="s">
        <v>104</v>
      </c>
      <c r="O28" s="17" t="s">
        <v>109</v>
      </c>
      <c r="P28" s="17">
        <v>8</v>
      </c>
      <c r="Q28" s="17">
        <v>8</v>
      </c>
      <c r="R28" s="43" t="s">
        <v>110</v>
      </c>
    </row>
    <row r="29">
      <c r="M29" s="42">
        <v>46292.98888024165</v>
      </c>
      <c r="N29" s="43" t="s">
        <v>103</v>
      </c>
      <c r="O29" s="17" t="s">
        <v>109</v>
      </c>
      <c r="P29" s="17">
        <v>25</v>
      </c>
      <c r="Q29" s="17">
        <v>25</v>
      </c>
      <c r="R29" s="43" t="s">
        <v>110</v>
      </c>
    </row>
    <row r="30">
      <c r="M30" s="42">
        <v>46292.98888024165</v>
      </c>
      <c r="N30" s="43" t="s">
        <v>52</v>
      </c>
      <c r="O30" s="17" t="s">
        <v>109</v>
      </c>
      <c r="P30" s="17">
        <v>20</v>
      </c>
      <c r="Q30" s="17">
        <v>20</v>
      </c>
      <c r="R30" s="43" t="s">
        <v>110</v>
      </c>
    </row>
  </sheetData>
  <mergeCells count="5">
    <mergeCell ref="A1:G1"/>
    <mergeCell ref="A9:C9"/>
    <mergeCell ref="E9:G9"/>
    <mergeCell ref="I9:K9"/>
    <mergeCell ref="M9:R9"/>
  </mergeCells>
  <dataValidations count="2">
    <dataValidation type="date" operator="greaterThan" allowBlank="1" showErrorMessage="1" errorTitle="Fecha" error="Escriba una fecha válida (dd/mm/aaaa)." sqref="B3">
      <formula1>1</formula1>
    </dataValidation>
    <dataValidation type="date" operator="greaterThan" allowBlank="1" showErrorMessage="1" errorTitle="Fecha" error="Escriba una fecha válida (dd/mm/aaaa)." sqref="B4">
      <formula1>1</formula1>
    </dataValidation>
  </dataValidations>
  <pageMargins left="0.7" right="0.7" top="0.75" bottom="0.75" header="0.3" footer="0.3"/>
  <drawing r:id="rId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8497B0"/>
  </sheetPr>
  <dimension ref="A1:F1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11" customWidth="1"/>
    <col min="2" max="2" width="28" customWidth="1"/>
    <col min="3" max="3" width="16" customWidth="1"/>
    <col min="4" max="4" width="28" customWidth="1"/>
    <col min="5" max="5" width="3" customWidth="1"/>
    <col min="6" max="6" width="24" customWidth="1"/>
  </cols>
  <sheetData>
    <row r="1">
      <c r="A1" t="s">
        <v>111</v>
      </c>
      <c r="B1" t="s">
        <v>112</v>
      </c>
      <c r="C1" t="s">
        <v>113</v>
      </c>
      <c r="D1" t="s">
        <v>114</v>
      </c>
    </row>
    <row r="2">
      <c r="A2">
        <v>1</v>
      </c>
      <c r="B2" t="s">
        <v>68</v>
      </c>
      <c r="C2"/>
      <c r="D2"/>
    </row>
    <row r="3">
      <c r="A3">
        <v>2</v>
      </c>
      <c r="B3" t="s">
        <v>76</v>
      </c>
      <c r="C3" t="s">
        <v>115</v>
      </c>
      <c r="D3" t="s">
        <v>116</v>
      </c>
    </row>
    <row r="4">
      <c r="A4">
        <v>3</v>
      </c>
      <c r="B4" t="s">
        <v>74</v>
      </c>
      <c r="C4" t="s">
        <v>117</v>
      </c>
      <c r="D4" t="s">
        <v>118</v>
      </c>
    </row>
    <row r="5">
      <c r="A5">
        <v>4</v>
      </c>
      <c r="B5" t="s">
        <v>72</v>
      </c>
      <c r="C5" t="s">
        <v>119</v>
      </c>
      <c r="D5" t="s">
        <v>120</v>
      </c>
    </row>
    <row r="6">
      <c r="A6">
        <v>5</v>
      </c>
      <c r="B6" t="s">
        <v>43</v>
      </c>
      <c r="C6" t="s">
        <v>45</v>
      </c>
      <c r="D6"/>
    </row>
    <row r="13">
      <c r="F13" s="11" t="s">
        <v>121</v>
      </c>
    </row>
    <row r="14">
      <c r="F14" s="11"/>
    </row>
    <row r="15">
      <c r="F15" s="11"/>
    </row>
    <row r="16">
      <c r="F16" s="11"/>
    </row>
    <row r="17">
      <c r="F17" s="11"/>
    </row>
  </sheetData>
  <mergeCells count="1">
    <mergeCell ref="F13:F17"/>
  </mergeCells>
  <pageMargins left="0.7" right="0.7" top="0.75" bottom="0.75" header="0.3" footer="0.3"/>
  <drawing r:id="rIdD1"/>
  <tableParts count="1">
    <tablePart r:id="rIdT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8497B0"/>
  </sheetPr>
  <dimension ref="A1:G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13" customWidth="1"/>
    <col min="2" max="2" width="26" customWidth="1"/>
    <col min="3" max="3" width="16" customWidth="1"/>
    <col min="4" max="4" width="12" customWidth="1"/>
    <col min="5" max="5" width="9" customWidth="1"/>
    <col min="6" max="6" width="3" customWidth="1"/>
    <col min="7" max="7" width="24" customWidth="1"/>
  </cols>
  <sheetData>
    <row r="1">
      <c r="A1" t="s">
        <v>122</v>
      </c>
      <c r="B1" t="s">
        <v>112</v>
      </c>
      <c r="C1" t="s">
        <v>123</v>
      </c>
      <c r="D1" t="s">
        <v>124</v>
      </c>
      <c r="E1" t="s">
        <v>125</v>
      </c>
    </row>
    <row r="2">
      <c r="A2">
        <v>1</v>
      </c>
      <c r="B2" t="s">
        <v>52</v>
      </c>
      <c r="C2" t="s">
        <v>126</v>
      </c>
      <c r="D2" s="49">
        <v>1500.0</v>
      </c>
      <c r="E2">
        <v>17</v>
      </c>
    </row>
    <row r="3">
      <c r="A3">
        <v>2</v>
      </c>
      <c r="B3" t="s">
        <v>103</v>
      </c>
      <c r="C3" t="s">
        <v>126</v>
      </c>
      <c r="D3" s="49">
        <v>850.0</v>
      </c>
      <c r="E3">
        <v>23</v>
      </c>
    </row>
    <row r="4">
      <c r="A4">
        <v>3</v>
      </c>
      <c r="B4" t="s">
        <v>104</v>
      </c>
      <c r="C4" t="s">
        <v>127</v>
      </c>
      <c r="D4" s="49">
        <v>8500.0</v>
      </c>
      <c r="E4">
        <v>7</v>
      </c>
    </row>
    <row r="5">
      <c r="A5">
        <v>4</v>
      </c>
      <c r="B5" t="s">
        <v>101</v>
      </c>
      <c r="C5" t="s">
        <v>128</v>
      </c>
      <c r="D5" s="49">
        <v>1200.0</v>
      </c>
      <c r="E5">
        <v>10</v>
      </c>
    </row>
    <row r="6">
      <c r="A6">
        <v>5</v>
      </c>
      <c r="B6" t="s">
        <v>93</v>
      </c>
      <c r="C6" t="s">
        <v>129</v>
      </c>
      <c r="D6" s="49">
        <v>650.0</v>
      </c>
      <c r="E6">
        <v>25</v>
      </c>
    </row>
    <row r="7">
      <c r="A7">
        <v>6</v>
      </c>
      <c r="B7" t="s">
        <v>51</v>
      </c>
      <c r="C7" t="s">
        <v>129</v>
      </c>
      <c r="D7" s="49">
        <v>3200.0</v>
      </c>
      <c r="E7">
        <v>9</v>
      </c>
    </row>
    <row r="8">
      <c r="A8">
        <v>7</v>
      </c>
      <c r="B8" t="s">
        <v>94</v>
      </c>
      <c r="C8" t="s">
        <v>95</v>
      </c>
      <c r="D8" s="49">
        <v>350.0</v>
      </c>
      <c r="E8">
        <v>3</v>
      </c>
    </row>
    <row r="9">
      <c r="A9">
        <v>8</v>
      </c>
      <c r="B9" t="s">
        <v>96</v>
      </c>
      <c r="C9" t="s">
        <v>126</v>
      </c>
      <c r="D9" s="49">
        <v>2100.0</v>
      </c>
      <c r="E9">
        <v>6</v>
      </c>
    </row>
    <row r="16">
      <c r="G16" s="11" t="s">
        <v>130</v>
      </c>
    </row>
    <row r="17">
      <c r="G17" s="11"/>
    </row>
    <row r="18">
      <c r="G18" s="11"/>
    </row>
    <row r="19">
      <c r="G19" s="11"/>
    </row>
    <row r="20">
      <c r="G20" s="11"/>
    </row>
  </sheetData>
  <mergeCells count="1">
    <mergeCell ref="G16:G20"/>
  </mergeCells>
  <conditionalFormatting sqref="A2:E1000">
    <cfRule type="expression" dxfId="10" priority="1">
      <formula>AND(ISNUMBER($E2),$E2&lt;=5)</formula>
    </cfRule>
  </conditionalFormatting>
  <pageMargins left="0.7" right="0.7" top="0.75" bottom="0.75" header="0.3" footer="0.3"/>
  <drawing r:id="rIdD1"/>
  <tableParts count="1">
    <tablePart r:id="rIdT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8497B0"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10" customWidth="1"/>
    <col min="2" max="2" width="11" customWidth="1"/>
    <col min="3" max="3" width="17" customWidth="1"/>
    <col min="4" max="4" width="12" customWidth="1"/>
    <col min="5" max="5" width="11" customWidth="1"/>
    <col min="6" max="6" width="12" customWidth="1"/>
    <col min="7" max="7" width="11" customWidth="1"/>
    <col min="8" max="8" width="3" customWidth="1"/>
    <col min="9" max="9" width="24" customWidth="1"/>
  </cols>
  <sheetData>
    <row r="1">
      <c r="A1" t="s">
        <v>131</v>
      </c>
      <c r="B1" t="s">
        <v>111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</row>
    <row r="2">
      <c r="A2">
        <v>1</v>
      </c>
      <c r="B2">
        <v>2</v>
      </c>
      <c r="C2" s="50">
        <v>46286.98888028105</v>
      </c>
      <c r="D2" s="49">
        <v>3262.71</v>
      </c>
      <c r="E2" s="49">
        <v>587.29</v>
      </c>
      <c r="F2" s="49">
        <v>3850.0</v>
      </c>
      <c r="G2" t="s">
        <v>40</v>
      </c>
    </row>
    <row r="3">
      <c r="A3">
        <v>2</v>
      </c>
      <c r="B3">
        <v>3</v>
      </c>
      <c r="C3" s="50">
        <v>46288.98888028105</v>
      </c>
      <c r="D3" s="49">
        <v>7203.39</v>
      </c>
      <c r="E3" s="49">
        <v>1296.61</v>
      </c>
      <c r="F3" s="49">
        <v>8500.0</v>
      </c>
      <c r="G3" t="s">
        <v>40</v>
      </c>
    </row>
    <row r="4">
      <c r="A4">
        <v>3</v>
      </c>
      <c r="B4">
        <v>4</v>
      </c>
      <c r="C4" s="50">
        <v>46290.98888028105</v>
      </c>
      <c r="D4" s="49">
        <v>3983.05</v>
      </c>
      <c r="E4" s="49">
        <v>716.95</v>
      </c>
      <c r="F4" s="49">
        <v>4700.0</v>
      </c>
      <c r="G4" t="s">
        <v>40</v>
      </c>
    </row>
    <row r="5">
      <c r="A5">
        <v>4</v>
      </c>
      <c r="B5">
        <v>1</v>
      </c>
      <c r="C5" s="50">
        <v>46291.98888028105</v>
      </c>
      <c r="D5" s="49">
        <v>1822.03</v>
      </c>
      <c r="E5" s="49">
        <v>327.97</v>
      </c>
      <c r="F5" s="49">
        <v>2150.0</v>
      </c>
      <c r="G5" t="s">
        <v>40</v>
      </c>
    </row>
    <row r="6">
      <c r="A6">
        <v>5</v>
      </c>
      <c r="B6">
        <v>5</v>
      </c>
      <c r="C6" s="50">
        <v>46292.98888028105</v>
      </c>
      <c r="D6" s="49">
        <v>3983.05</v>
      </c>
      <c r="E6" s="49">
        <v>716.95</v>
      </c>
      <c r="F6" s="49">
        <v>4700.0</v>
      </c>
      <c r="G6" t="s">
        <v>40</v>
      </c>
    </row>
    <row r="7">
      <c r="A7">
        <v>6</v>
      </c>
      <c r="B7">
        <v>1</v>
      </c>
      <c r="C7" s="50">
        <v>46292.98888028105</v>
      </c>
      <c r="D7" s="49">
        <v>1779.66</v>
      </c>
      <c r="E7" s="49">
        <v>320.34</v>
      </c>
      <c r="F7" s="49">
        <v>2100.0</v>
      </c>
      <c r="G7" t="s">
        <v>69</v>
      </c>
    </row>
  </sheetData>
  <pageMargins left="0.7" right="0.7" top="0.75" bottom="0.75" header="0.3" footer="0.3"/>
  <drawing r:id="rIdD1"/>
  <tableParts count="1">
    <tablePart r:id="rIdT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8497B0"/>
  </sheetPr>
  <dimension ref="A1:F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11" customWidth="1"/>
    <col min="2" max="2" width="10" customWidth="1"/>
    <col min="3" max="3" width="13" customWidth="1"/>
    <col min="4" max="4" width="10" customWidth="1"/>
    <col min="5" max="5" width="12" customWidth="1"/>
    <col min="6" max="6" width="12" customWidth="1"/>
    <col min="7" max="7" width="3" customWidth="1"/>
    <col min="8" max="8" width="24" customWidth="1"/>
  </cols>
  <sheetData>
    <row r="1">
      <c r="A1" t="s">
        <v>137</v>
      </c>
      <c r="B1" t="s">
        <v>131</v>
      </c>
      <c r="C1" t="s">
        <v>122</v>
      </c>
      <c r="D1" t="s">
        <v>138</v>
      </c>
      <c r="E1" t="s">
        <v>124</v>
      </c>
      <c r="F1" t="s">
        <v>133</v>
      </c>
    </row>
    <row r="2">
      <c r="A2">
        <v>1</v>
      </c>
      <c r="B2">
        <v>1</v>
      </c>
      <c r="C2">
        <v>1</v>
      </c>
      <c r="D2">
        <v>2</v>
      </c>
      <c r="E2" s="49">
        <v>1500.0</v>
      </c>
      <c r="F2" s="49">
        <v>3000.0</v>
      </c>
    </row>
    <row r="3">
      <c r="A3">
        <v>2</v>
      </c>
      <c r="B3">
        <v>1</v>
      </c>
      <c r="C3">
        <v>2</v>
      </c>
      <c r="D3">
        <v>1</v>
      </c>
      <c r="E3" s="49">
        <v>850.0</v>
      </c>
      <c r="F3" s="49">
        <v>850.0</v>
      </c>
    </row>
    <row r="4">
      <c r="A4">
        <v>3</v>
      </c>
      <c r="B4">
        <v>2</v>
      </c>
      <c r="C4">
        <v>3</v>
      </c>
      <c r="D4">
        <v>1</v>
      </c>
      <c r="E4" s="49">
        <v>8500.0</v>
      </c>
      <c r="F4" s="49">
        <v>8500.0</v>
      </c>
    </row>
    <row r="5">
      <c r="A5">
        <v>4</v>
      </c>
      <c r="B5">
        <v>3</v>
      </c>
      <c r="C5">
        <v>4</v>
      </c>
      <c r="D5">
        <v>2</v>
      </c>
      <c r="E5" s="49">
        <v>1200.0</v>
      </c>
      <c r="F5" s="49">
        <v>2400.0</v>
      </c>
    </row>
    <row r="6">
      <c r="A6">
        <v>5</v>
      </c>
      <c r="B6">
        <v>3</v>
      </c>
      <c r="C6">
        <v>5</v>
      </c>
      <c r="D6">
        <v>3</v>
      </c>
      <c r="E6" s="49">
        <v>650.0</v>
      </c>
      <c r="F6" s="49">
        <v>1950.0</v>
      </c>
    </row>
    <row r="7">
      <c r="A7">
        <v>6</v>
      </c>
      <c r="B7">
        <v>3</v>
      </c>
      <c r="C7">
        <v>7</v>
      </c>
      <c r="D7">
        <v>1</v>
      </c>
      <c r="E7" s="49">
        <v>350.0</v>
      </c>
      <c r="F7" s="49">
        <v>350.0</v>
      </c>
    </row>
    <row r="8">
      <c r="A8">
        <v>7</v>
      </c>
      <c r="B8">
        <v>4</v>
      </c>
      <c r="C8">
        <v>5</v>
      </c>
      <c r="D8">
        <v>2</v>
      </c>
      <c r="E8" s="49">
        <v>650.0</v>
      </c>
      <c r="F8" s="49">
        <v>1300.0</v>
      </c>
    </row>
    <row r="9">
      <c r="A9">
        <v>8</v>
      </c>
      <c r="B9">
        <v>4</v>
      </c>
      <c r="C9">
        <v>2</v>
      </c>
      <c r="D9">
        <v>1</v>
      </c>
      <c r="E9" s="49">
        <v>850.0</v>
      </c>
      <c r="F9" s="49">
        <v>850.0</v>
      </c>
    </row>
    <row r="10">
      <c r="A10">
        <v>9</v>
      </c>
      <c r="B10">
        <v>5</v>
      </c>
      <c r="C10">
        <v>6</v>
      </c>
      <c r="D10">
        <v>1</v>
      </c>
      <c r="E10" s="49">
        <v>3200.0</v>
      </c>
      <c r="F10" s="49">
        <v>3200.0</v>
      </c>
    </row>
    <row r="11">
      <c r="A11">
        <v>10</v>
      </c>
      <c r="B11">
        <v>5</v>
      </c>
      <c r="C11">
        <v>1</v>
      </c>
      <c r="D11">
        <v>1</v>
      </c>
      <c r="E11" s="49">
        <v>1500.0</v>
      </c>
      <c r="F11" s="49">
        <v>1500.0</v>
      </c>
    </row>
    <row r="12">
      <c r="A12">
        <v>11</v>
      </c>
      <c r="B12">
        <v>6</v>
      </c>
      <c r="C12">
        <v>8</v>
      </c>
      <c r="D12">
        <v>1</v>
      </c>
      <c r="E12" s="49">
        <v>2100.0</v>
      </c>
      <c r="F12" s="49">
        <v>2100.0</v>
      </c>
    </row>
  </sheetData>
  <pageMargins left="0.7" right="0.7" top="0.75" bottom="0.75" header="0.3" footer="0.3"/>
  <drawing r:id="rIdD1"/>
  <tableParts count="1">
    <tablePart r:id="rIdT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9B4A2A-0B67-4B40-8CD4-1851CABD7E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Menú</vt:lpstr>
      <vt:lpstr>Nueva Venta</vt:lpstr>
      <vt:lpstr>Factura</vt:lpstr>
      <vt:lpstr>Historial</vt:lpstr>
      <vt:lpstr>Reportes</vt:lpstr>
      <vt:lpstr>Clientes</vt:lpstr>
      <vt:lpstr>Productos</vt:lpstr>
      <vt:lpstr>Ventas</vt:lpstr>
      <vt:lpstr>Detalle 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Fortuna</dc:creator>
  <cp:lastModifiedBy>Edgar Fortuna</cp:lastModifiedBy>
  <cp:lastPrinted>2026-09-22T19:58:10Z</cp:lastPrinted>
  <dcterms:created xsi:type="dcterms:W3CDTF">2026-09-22T14:52:31Z</dcterms:created>
  <dcterms:modified xsi:type="dcterms:W3CDTF">2026-09-25T23:21:27Z</dcterms:modified>
</cp:coreProperties>
</file>