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niversidad\SistemaVentasInventario\Excel\"/>
    </mc:Choice>
  </mc:AlternateContent>
  <xr:revisionPtr revIDLastSave="0" documentId="13_ncr:1_{B8E1E21B-A48E-4242-8769-803AF658A778}" xr6:coauthVersionLast="47" xr6:coauthVersionMax="47" xr10:uidLastSave="{00000000-0000-0000-0000-000000000000}"/>
  <bookViews>
    <workbookView xWindow="-110" yWindow="-110" windowWidth="25820" windowHeight="13900" activeTab="3" xr2:uid="{DBD0A1E1-C6D6-4B1E-B562-62FE745E23C5}"/>
  </bookViews>
  <sheets>
    <sheet name="clientes" sheetId="2" r:id="rId1"/>
    <sheet name="productos" sheetId="3" r:id="rId2"/>
    <sheet name="detalle_venta" sheetId="5" r:id="rId3"/>
    <sheet name="Nueva Venta" sheetId="6" r:id="rId4"/>
    <sheet name="Ventas" sheetId="4" r:id="rId5"/>
  </sheets>
  <definedNames>
    <definedName name="_xleta.PRODUCT" hidden="1" xlm="1">#NAME?</definedName>
    <definedName name="_xleta.SUM" hidden="1" xlm="1">#NAME?</definedName>
    <definedName name="DatosExternos_1" localSheetId="0" hidden="1">'clientes'!$A$1:$D$5</definedName>
    <definedName name="DatosExternos_1" localSheetId="1" hidden="1">productos!$A$1:$E$5</definedName>
    <definedName name="DatosExternos_1" localSheetId="4" hidden="1">Ventas!$A$1:$D$2</definedName>
    <definedName name="DatosExternos_2" localSheetId="2" hidden="1">detalle_venta!$A$1:$F$3</definedName>
    <definedName name="ListaClientes">clientes[nombre]</definedName>
    <definedName name="ListaProductos">Productos[nombre]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6" i="6" l="1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G4" i="6"/>
  <c r="G5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6" i="6"/>
  <c r="D7" i="6"/>
  <c r="C7" i="6"/>
  <c r="C6" i="6"/>
  <c r="D6" i="6" s="1"/>
  <c r="G3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27EF52-CF5B-4035-B7C4-7D745EACCF11}" keepAlive="1" name="Consulta - clientes" description="Conexión a la consulta 'clientes' en el libro." type="5" refreshedVersion="8" background="1" saveData="1">
    <dbPr connection="Provider=Microsoft.Mashup.OleDb.1;Data Source=$Workbook$;Location=clientes;Extended Properties=&quot;&quot;" command="SELECT * FROM [clientes]"/>
  </connection>
  <connection id="2" xr16:uid="{0757F14B-9618-4DB6-9161-E5D3F5C819F0}" keepAlive="1" name="Consulta - detalle_venta" description="Conexión a la consulta 'detalle_venta' en el libro." type="5" refreshedVersion="8" background="1" saveData="1">
    <dbPr connection="Provider=Microsoft.Mashup.OleDb.1;Data Source=$Workbook$;Location=detalle_venta;Extended Properties=&quot;&quot;" command="SELECT * FROM [detalle_venta]"/>
  </connection>
  <connection id="3" xr16:uid="{75E7ECB2-9062-4020-AA18-E22C76303BF8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4" xr16:uid="{85834555-1870-427C-87DA-336909353F48}" keepAlive="1" name="Consulta - ventas" description="Conexión a la consulta 'ventas' en el libro." type="5" refreshedVersion="8" background="1" saveData="1">
    <dbPr connection="Provider=Microsoft.Mashup.OleDb.1;Data Source=$Workbook$;Location=ventas;Extended Properties=&quot;&quot;" command="SELECT * FROM [ventas]"/>
  </connection>
</connections>
</file>

<file path=xl/sharedStrings.xml><?xml version="1.0" encoding="utf-8"?>
<sst xmlns="http://schemas.openxmlformats.org/spreadsheetml/2006/main" count="60" uniqueCount="45">
  <si>
    <t>id_cliente</t>
  </si>
  <si>
    <t>nombre</t>
  </si>
  <si>
    <t>telefono</t>
  </si>
  <si>
    <t>correo</t>
  </si>
  <si>
    <t>Edgar Fortuna</t>
  </si>
  <si>
    <t>809-555-1001</t>
  </si>
  <si>
    <t>edgar@example.com</t>
  </si>
  <si>
    <t>Carlos Pérez</t>
  </si>
  <si>
    <t>809-555-1002</t>
  </si>
  <si>
    <t>carlos@example.com</t>
  </si>
  <si>
    <t>ID</t>
  </si>
  <si>
    <t>Nombre</t>
  </si>
  <si>
    <t>Telefono</t>
  </si>
  <si>
    <t>Correo</t>
  </si>
  <si>
    <t>Maria Rodriguez</t>
  </si>
  <si>
    <t>809-555-9025</t>
  </si>
  <si>
    <t>maria@gmail.com</t>
  </si>
  <si>
    <t>Hector Yan</t>
  </si>
  <si>
    <t>id_producto</t>
  </si>
  <si>
    <t>categoria</t>
  </si>
  <si>
    <t>precio</t>
  </si>
  <si>
    <t>stock</t>
  </si>
  <si>
    <t>Teclado Logitech</t>
  </si>
  <si>
    <t>Periféricos</t>
  </si>
  <si>
    <t>Mouse inalámbrico</t>
  </si>
  <si>
    <t>Monitor 24 pulgadas</t>
  </si>
  <si>
    <t>Monitores</t>
  </si>
  <si>
    <t>Audifonos Bluetooth</t>
  </si>
  <si>
    <t>Audio</t>
  </si>
  <si>
    <t>id_venta</t>
  </si>
  <si>
    <t>fecha</t>
  </si>
  <si>
    <t>total</t>
  </si>
  <si>
    <t>id_detalle</t>
  </si>
  <si>
    <t>cantidad</t>
  </si>
  <si>
    <t>subtotal</t>
  </si>
  <si>
    <t>Nueva Venta</t>
  </si>
  <si>
    <t>Cliente</t>
  </si>
  <si>
    <t>Producto</t>
  </si>
  <si>
    <t>Precio</t>
  </si>
  <si>
    <t>Subtotal</t>
  </si>
  <si>
    <t>Total</t>
  </si>
  <si>
    <t>Cantidad</t>
  </si>
  <si>
    <t>Stosk disponible</t>
  </si>
  <si>
    <t>Productos</t>
  </si>
  <si>
    <t>ID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</si>
</sst>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0" fontId="1" fillId="0" borderId="0" xfId="0" applyFont="1"/>
  </cellXfs>
  <cellStyles count="1">
    <cellStyle name="Normal" xfId="0" builtinId="0"/>
  </cellStyles>
  <dxfs count="6">
    <dxf>
      <numFmt numFmtId="27" formatCode="d/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6</xdr:row>
      <xdr:rowOff>95250</xdr:rowOff>
    </xdr:from>
    <xdr:to>
      <xdr:col>6</xdr:col>
      <xdr:colOff>76200</xdr:colOff>
      <xdr:row>9</xdr:row>
      <xdr:rowOff>165100</xdr:rowOff>
    </xdr:to>
    <xdr:sp macro="[0]!RegistrarClien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5FC3998-59A1-A4F9-D979-E14BC1BC651D}"/>
            </a:ext>
          </a:extLst>
        </xdr:cNvPr>
        <xdr:cNvSpPr/>
      </xdr:nvSpPr>
      <xdr:spPr>
        <a:xfrm>
          <a:off x="3841750" y="1384300"/>
          <a:ext cx="1524000" cy="62230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latin typeface="Arial" panose="020B0604020202020204" pitchFamily="34" charset="0"/>
              <a:cs typeface="Arial" panose="020B0604020202020204" pitchFamily="34" charset="0"/>
            </a:rPr>
            <a:t>Registrar</a:t>
          </a:r>
          <a:r>
            <a:rPr lang="es-DO" sz="1200" b="1" baseline="0">
              <a:latin typeface="Arial" panose="020B0604020202020204" pitchFamily="34" charset="0"/>
              <a:cs typeface="Arial" panose="020B0604020202020204" pitchFamily="34" charset="0"/>
            </a:rPr>
            <a:t> cliente</a:t>
          </a:r>
          <a:endParaRPr lang="es-DO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393700</xdr:colOff>
      <xdr:row>9</xdr:row>
      <xdr:rowOff>139700</xdr:rowOff>
    </xdr:from>
    <xdr:to>
      <xdr:col>6</xdr:col>
      <xdr:colOff>101600</xdr:colOff>
      <xdr:row>12</xdr:row>
      <xdr:rowOff>69850</xdr:rowOff>
    </xdr:to>
    <xdr:sp macro="[0]!RegistrarProdu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220D5B5-41C2-9CC5-D2EF-D434CAD9DF14}"/>
            </a:ext>
          </a:extLst>
        </xdr:cNvPr>
        <xdr:cNvSpPr/>
      </xdr:nvSpPr>
      <xdr:spPr>
        <a:xfrm>
          <a:off x="3257550" y="1797050"/>
          <a:ext cx="1587500" cy="4826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>
              <a:latin typeface="Arial" panose="020B0604020202020204" pitchFamily="34" charset="0"/>
              <a:cs typeface="Arial" panose="020B0604020202020204" pitchFamily="34" charset="0"/>
            </a:rPr>
            <a:t>Registrar producto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26</xdr:row>
      <xdr:rowOff>171450</xdr:rowOff>
    </xdr:from>
    <xdr:to>
      <xdr:col>1</xdr:col>
      <xdr:colOff>514350</xdr:colOff>
      <xdr:row>29</xdr:row>
      <xdr:rowOff>152400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BEDF57-B6FE-C001-11F7-2FEF0E0838A7}"/>
            </a:ext>
          </a:extLst>
        </xdr:cNvPr>
        <xdr:cNvSpPr/>
      </xdr:nvSpPr>
      <xdr:spPr>
        <a:xfrm>
          <a:off x="190500" y="4959350"/>
          <a:ext cx="1454150" cy="5334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>
              <a:latin typeface="Arial" panose="020B0604020202020204" pitchFamily="34" charset="0"/>
              <a:cs typeface="Arial" panose="020B0604020202020204" pitchFamily="34" charset="0"/>
            </a:rPr>
            <a:t>Registrar ventas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13A950C-AE8A-4BD9-8901-9D1BC94525C3}" autoFormatId="16" applyNumberFormats="0" applyBorderFormats="0" applyFontFormats="0" applyPatternFormats="0" applyAlignmentFormats="0" applyWidthHeightFormats="0">
  <queryTableRefresh nextId="5">
    <queryTableFields count="4">
      <queryTableField id="1" name="id_cliente" tableColumnId="1"/>
      <queryTableField id="2" name="nombre" tableColumnId="2"/>
      <queryTableField id="3" name="telefono" tableColumnId="3"/>
      <queryTableField id="4" name="corre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C663E52C-8ED2-48F0-9F99-8F453BAD24E7}" autoFormatId="16" applyNumberFormats="0" applyBorderFormats="0" applyFontFormats="0" applyPatternFormats="0" applyAlignmentFormats="0" applyWidthHeightFormats="0">
  <queryTableRefresh nextId="6">
    <queryTableFields count="5">
      <queryTableField id="1" name="id_producto" tableColumnId="1"/>
      <queryTableField id="2" name="nombre" tableColumnId="2"/>
      <queryTableField id="3" name="categoria" tableColumnId="3"/>
      <queryTableField id="4" name="precio" tableColumnId="4"/>
      <queryTableField id="5" name="stock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C339F1EE-2309-4C01-99A6-4340708CD2F2}" autoFormatId="16" applyNumberFormats="0" applyBorderFormats="0" applyFontFormats="0" applyPatternFormats="0" applyAlignmentFormats="0" applyWidthHeightFormats="0">
  <queryTableRefresh nextId="7">
    <queryTableFields count="6">
      <queryTableField id="1" name="id_detalle" tableColumnId="1"/>
      <queryTableField id="2" name="id_venta" tableColumnId="2"/>
      <queryTableField id="3" name="id_producto" tableColumnId="3"/>
      <queryTableField id="4" name="cantidad" tableColumnId="4"/>
      <queryTableField id="5" name="precio" tableColumnId="5"/>
      <queryTableField id="6" name="subtotal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4B9245C6-EDC7-441C-ACE0-AC2CA45E5269}" autoFormatId="16" applyNumberFormats="0" applyBorderFormats="0" applyFontFormats="0" applyPatternFormats="0" applyAlignmentFormats="0" applyWidthHeightFormats="0">
  <queryTableRefresh nextId="5">
    <queryTableFields count="4">
      <queryTableField id="1" name="id_venta" tableColumnId="1"/>
      <queryTableField id="2" name="id_cliente" tableColumnId="2"/>
      <queryTableField id="3" name="fecha" tableColumnId="3"/>
      <queryTableField id="4" name="total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C9D203-1DFF-4606-8B5E-BD28E65AD39B}" name="clientes" displayName="clientes" ref="A1:D5" tableType="queryTable" totalsRowShown="0">
  <autoFilter ref="A1:D5" xr:uid="{B8C9D203-1DFF-4606-8B5E-BD28E65AD39B}"/>
  <tableColumns count="4">
    <tableColumn id="1" xr3:uid="{2A13A458-D27A-4CE0-9E2C-66DEB5738CDB}" uniqueName="1" name="id_cliente" queryTableFieldId="1"/>
    <tableColumn id="2" xr3:uid="{2E6A6CD0-0939-4666-A7DB-4A995D736D5D}" uniqueName="2" name="nombre" queryTableFieldId="2" dataDxfId="5"/>
    <tableColumn id="3" xr3:uid="{8DA7686A-B99B-49D1-B0C1-112B84D65E62}" uniqueName="3" name="telefono" queryTableFieldId="3" dataDxfId="4"/>
    <tableColumn id="4" xr3:uid="{BEAF0F88-A397-4386-ABE7-1B9F784466FD}" uniqueName="4" name="correo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3BB778-3F76-447D-B9E2-7DBF792217D3}" name="Productos" displayName="Productos" ref="A1:E5" tableType="queryTable" totalsRowShown="0">
  <autoFilter ref="A1:E5" xr:uid="{D53BB778-3F76-447D-B9E2-7DBF792217D3}"/>
  <tableColumns count="5">
    <tableColumn id="1" xr3:uid="{FC2BEB2A-DF59-4D25-B4E9-FCD3CF41288F}" uniqueName="1" name="id_producto" queryTableFieldId="1"/>
    <tableColumn id="2" xr3:uid="{2B61E1C5-5E3D-46F0-ADEB-7FFBF5B42990}" uniqueName="2" name="nombre" queryTableFieldId="2" dataDxfId="2"/>
    <tableColumn id="3" xr3:uid="{CF627E7D-4DF2-45AD-9270-C6C80CDAA4C3}" uniqueName="3" name="categoria" queryTableFieldId="3" dataDxfId="1"/>
    <tableColumn id="4" xr3:uid="{FB24C0DA-741C-4FA1-A89C-47DFE0AF1722}" uniqueName="4" name="precio" queryTableFieldId="4"/>
    <tableColumn id="5" xr3:uid="{A9345793-63FB-4537-887A-76415655046C}" uniqueName="5" name="stock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28B2EC-7BBD-4FA3-A66D-A003A90F6FE6}" name="DetalleVentas" displayName="DetalleVentas" ref="A1:F3" tableType="queryTable" totalsRowShown="0">
  <autoFilter ref="A1:F3" xr:uid="{3728B2EC-7BBD-4FA3-A66D-A003A90F6FE6}"/>
  <tableColumns count="6">
    <tableColumn id="1" xr3:uid="{56A8161C-421C-4C68-AD59-98734613BB5F}" uniqueName="1" name="id_detalle" queryTableFieldId="1"/>
    <tableColumn id="2" xr3:uid="{6F382C4B-B0B3-485D-A35D-080B879FD986}" uniqueName="2" name="id_venta" queryTableFieldId="2"/>
    <tableColumn id="3" xr3:uid="{2F27F218-F67A-442D-9195-A29B2F976997}" uniqueName="3" name="id_producto" queryTableFieldId="3"/>
    <tableColumn id="4" xr3:uid="{15795EB5-D8E0-4803-85F5-241B35017A88}" uniqueName="4" name="cantidad" queryTableFieldId="4"/>
    <tableColumn id="5" xr3:uid="{207BA42B-8D9F-4984-802F-194626496455}" uniqueName="5" name="precio" queryTableFieldId="5"/>
    <tableColumn id="6" xr3:uid="{2EAD18D4-57C4-4A46-B16F-3CB19B831659}" uniqueName="6" name="subtotal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5ED551-D698-4C70-8EDA-2F07DC98C0EE}" name="Ventas" displayName="Ventas" ref="A1:D2" tableType="queryTable" totalsRowShown="0">
  <autoFilter ref="A1:D2" xr:uid="{1A5ED551-D698-4C70-8EDA-2F07DC98C0EE}"/>
  <tableColumns count="4">
    <tableColumn id="1" xr3:uid="{88E7F159-5D78-4536-A44C-359556B50C0C}" uniqueName="1" name="id_venta" queryTableFieldId="1"/>
    <tableColumn id="2" xr3:uid="{EE8BFAD0-E6C2-4AA0-B4EA-14F407BA5971}" uniqueName="2" name="id_cliente" queryTableFieldId="2"/>
    <tableColumn id="3" xr3:uid="{E5306A79-FCEA-46C1-A582-0C903861C085}" uniqueName="3" name="fecha" queryTableFieldId="3" dataDxfId="0"/>
    <tableColumn id="4" xr3:uid="{D41CE437-A0A8-4D72-87F2-7C841488B262}" uniqueName="4" name="total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37D7-B070-49FC-8BF2-3241DE26439E}">
  <sheetPr codeName="Hoja1"/>
  <dimension ref="A1:I5"/>
  <sheetViews>
    <sheetView workbookViewId="0">
      <selection activeCell="E20" sqref="E20"/>
    </sheetView>
  </sheetViews>
  <sheetFormatPr baseColWidth="10" defaultRowHeight="14.5" x14ac:dyDescent="0.35"/>
  <cols>
    <col min="1" max="1" width="11.36328125" bestFit="1" customWidth="1"/>
    <col min="2" max="2" width="12" bestFit="1" customWidth="1"/>
    <col min="3" max="3" width="12.08984375" bestFit="1" customWidth="1"/>
    <col min="4" max="4" width="18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F1" t="s">
        <v>10</v>
      </c>
      <c r="G1" t="s">
        <v>11</v>
      </c>
      <c r="H1" t="s">
        <v>12</v>
      </c>
      <c r="I1" t="s">
        <v>13</v>
      </c>
    </row>
    <row r="2" spans="1:9" x14ac:dyDescent="0.35">
      <c r="A2">
        <v>1</v>
      </c>
      <c r="B2" t="s">
        <v>4</v>
      </c>
      <c r="C2" t="s">
        <v>5</v>
      </c>
      <c r="D2" t="s">
        <v>6</v>
      </c>
      <c r="F2">
        <v>1</v>
      </c>
      <c r="G2" t="s">
        <v>4</v>
      </c>
      <c r="H2" t="s">
        <v>5</v>
      </c>
      <c r="I2" t="s">
        <v>6</v>
      </c>
    </row>
    <row r="3" spans="1:9" x14ac:dyDescent="0.35">
      <c r="A3">
        <v>2</v>
      </c>
      <c r="B3" t="s">
        <v>7</v>
      </c>
      <c r="C3" t="s">
        <v>8</v>
      </c>
      <c r="D3" t="s">
        <v>9</v>
      </c>
      <c r="F3">
        <v>2</v>
      </c>
      <c r="G3" t="s">
        <v>7</v>
      </c>
      <c r="H3" t="s">
        <v>8</v>
      </c>
      <c r="I3" t="s">
        <v>9</v>
      </c>
    </row>
    <row r="4" spans="1:9" x14ac:dyDescent="0.35">
      <c r="A4">
        <v>4</v>
      </c>
      <c r="B4" t="s">
        <v>14</v>
      </c>
      <c r="C4" t="s">
        <v>15</v>
      </c>
      <c r="D4" t="s">
        <v>16</v>
      </c>
    </row>
    <row r="5" spans="1:9" x14ac:dyDescent="0.35">
      <c r="A5">
        <v>5</v>
      </c>
      <c r="B5" t="s">
        <v>17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E44FB-496D-43C0-970F-59B8BD80E627}">
  <sheetPr codeName="Hoja3"/>
  <dimension ref="A1:E5"/>
  <sheetViews>
    <sheetView workbookViewId="0">
      <selection activeCell="G19" sqref="G19"/>
    </sheetView>
  </sheetViews>
  <sheetFormatPr baseColWidth="10" defaultRowHeight="14.5" x14ac:dyDescent="0.35"/>
  <cols>
    <col min="1" max="1" width="13.08984375" bestFit="1" customWidth="1"/>
    <col min="2" max="2" width="17.08984375" bestFit="1" customWidth="1"/>
    <col min="3" max="3" width="10.81640625" bestFit="1" customWidth="1"/>
    <col min="4" max="4" width="8.36328125" bestFit="1" customWidth="1"/>
    <col min="5" max="5" width="7.6328125" bestFit="1" customWidth="1"/>
  </cols>
  <sheetData>
    <row r="1" spans="1:5" x14ac:dyDescent="0.35">
      <c r="A1" t="s">
        <v>18</v>
      </c>
      <c r="B1" t="s">
        <v>1</v>
      </c>
      <c r="C1" t="s">
        <v>19</v>
      </c>
      <c r="D1" t="s">
        <v>20</v>
      </c>
      <c r="E1" t="s">
        <v>21</v>
      </c>
    </row>
    <row r="2" spans="1:5" x14ac:dyDescent="0.35">
      <c r="A2">
        <v>1</v>
      </c>
      <c r="B2" t="s">
        <v>22</v>
      </c>
      <c r="C2" t="s">
        <v>23</v>
      </c>
      <c r="D2">
        <v>1500</v>
      </c>
      <c r="E2">
        <v>10</v>
      </c>
    </row>
    <row r="3" spans="1:5" x14ac:dyDescent="0.35">
      <c r="A3">
        <v>2</v>
      </c>
      <c r="B3" t="s">
        <v>24</v>
      </c>
      <c r="C3" t="s">
        <v>23</v>
      </c>
      <c r="D3">
        <v>850</v>
      </c>
      <c r="E3">
        <v>15</v>
      </c>
    </row>
    <row r="4" spans="1:5" x14ac:dyDescent="0.35">
      <c r="A4">
        <v>3</v>
      </c>
      <c r="B4" t="s">
        <v>25</v>
      </c>
      <c r="C4" t="s">
        <v>26</v>
      </c>
      <c r="D4">
        <v>8500</v>
      </c>
      <c r="E4">
        <v>5</v>
      </c>
    </row>
    <row r="5" spans="1:5" x14ac:dyDescent="0.35">
      <c r="A5">
        <v>4</v>
      </c>
      <c r="B5" t="s">
        <v>27</v>
      </c>
      <c r="C5" t="s">
        <v>28</v>
      </c>
      <c r="D5">
        <v>1200</v>
      </c>
      <c r="E5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6A63B-320C-4F02-AB7E-B7D51FEC0E65}">
  <sheetPr codeName="Hoja5"/>
  <dimension ref="A1:F3"/>
  <sheetViews>
    <sheetView workbookViewId="0">
      <selection activeCell="D3" sqref="D3"/>
    </sheetView>
  </sheetViews>
  <sheetFormatPr baseColWidth="10" defaultRowHeight="14.5" x14ac:dyDescent="0.35"/>
  <cols>
    <col min="1" max="1" width="11.36328125" bestFit="1" customWidth="1"/>
    <col min="2" max="2" width="10.1796875" bestFit="1" customWidth="1"/>
    <col min="3" max="3" width="13.08984375" bestFit="1" customWidth="1"/>
    <col min="4" max="4" width="10.54296875" bestFit="1" customWidth="1"/>
    <col min="5" max="5" width="8.36328125" bestFit="1" customWidth="1"/>
    <col min="6" max="6" width="10" bestFit="1" customWidth="1"/>
  </cols>
  <sheetData>
    <row r="1" spans="1:6" x14ac:dyDescent="0.35">
      <c r="A1" t="s">
        <v>32</v>
      </c>
      <c r="B1" t="s">
        <v>29</v>
      </c>
      <c r="C1" t="s">
        <v>18</v>
      </c>
      <c r="D1" t="s">
        <v>33</v>
      </c>
      <c r="E1" t="s">
        <v>20</v>
      </c>
      <c r="F1" t="s">
        <v>34</v>
      </c>
    </row>
    <row r="2" spans="1:6" x14ac:dyDescent="0.35">
      <c r="A2">
        <v>1</v>
      </c>
      <c r="B2">
        <v>1</v>
      </c>
      <c r="C2">
        <v>1</v>
      </c>
      <c r="D2">
        <v>2</v>
      </c>
      <c r="E2">
        <v>1500</v>
      </c>
      <c r="F2">
        <v>3000</v>
      </c>
    </row>
    <row r="3" spans="1:6" x14ac:dyDescent="0.35">
      <c r="A3">
        <v>2</v>
      </c>
      <c r="B3">
        <v>1</v>
      </c>
      <c r="C3">
        <v>2</v>
      </c>
      <c r="D3">
        <v>1</v>
      </c>
      <c r="E3">
        <v>850</v>
      </c>
      <c r="F3">
        <v>850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BA8D-089B-434E-BE6A-3C62750DCF90}">
  <sheetPr codeName="Hoja6"/>
  <dimension ref="A1:G26"/>
  <sheetViews>
    <sheetView tabSelected="1" workbookViewId="0">
      <selection activeCell="A6" sqref="A6"/>
    </sheetView>
  </sheetViews>
  <sheetFormatPr baseColWidth="10" defaultRowHeight="14.5" x14ac:dyDescent="0.35"/>
  <cols>
    <col min="1" max="1" width="16.453125" customWidth="1"/>
    <col min="2" max="2" width="13.6328125" bestFit="1" customWidth="1"/>
    <col min="5" max="5" width="13.90625" bestFit="1" customWidth="1"/>
  </cols>
  <sheetData>
    <row r="1" spans="1:7" x14ac:dyDescent="0.35">
      <c r="A1" t="s">
        <v>35</v>
      </c>
    </row>
    <row r="3" spans="1:7" x14ac:dyDescent="0.35">
      <c r="A3" t="s">
        <v>36</v>
      </c>
      <c r="B3" t="s">
        <v>14</v>
      </c>
      <c r="F3" t="s">
        <v>40</v>
      </c>
      <c r="G3">
        <f>SUMIF(A6:A26,"&lt;&gt;",D6:D26)</f>
        <v>2700</v>
      </c>
    </row>
    <row r="4" spans="1:7" x14ac:dyDescent="0.35">
      <c r="F4" t="s">
        <v>44</v>
      </c>
      <c r="G4">
        <f>_xlfn.XLOOKUP(B3,clientes[nombre],clientes[id_cliente],"")</f>
        <v>4</v>
      </c>
    </row>
    <row r="5" spans="1:7" x14ac:dyDescent="0.35">
      <c r="A5" t="s">
        <v>37</v>
      </c>
      <c r="B5" t="s">
        <v>41</v>
      </c>
      <c r="C5" t="s">
        <v>38</v>
      </c>
      <c r="D5" t="s">
        <v>39</v>
      </c>
      <c r="E5" t="s">
        <v>42</v>
      </c>
      <c r="F5" t="s">
        <v>43</v>
      </c>
      <c r="G5">
        <f>COUNTIF(A6:A26,"&lt;&gt;")</f>
        <v>2</v>
      </c>
    </row>
    <row r="6" spans="1:7" x14ac:dyDescent="0.35">
      <c r="A6" t="s">
        <v>27</v>
      </c>
      <c r="B6">
        <v>1</v>
      </c>
      <c r="C6">
        <f>_xlfn.XLOOKUP(A6,Productos[nombre],Productos[precio],"")</f>
        <v>1200</v>
      </c>
      <c r="D6">
        <f>B6*C6</f>
        <v>1200</v>
      </c>
      <c r="E6">
        <f>_xlfn.XLOOKUP(A6,Productos[nombre],Productos[stock],"")</f>
        <v>0</v>
      </c>
      <c r="F6">
        <f>_xlfn.XLOOKUP(A6,Productos[nombre],Productos[id_producto],"")</f>
        <v>4</v>
      </c>
    </row>
    <row r="7" spans="1:7" x14ac:dyDescent="0.35">
      <c r="A7" t="s">
        <v>22</v>
      </c>
      <c r="B7">
        <v>1</v>
      </c>
      <c r="C7">
        <f>_xlfn.XLOOKUP(A7,Productos[nombre],Productos[precio],"")</f>
        <v>1500</v>
      </c>
      <c r="D7">
        <f>B7*C7</f>
        <v>1500</v>
      </c>
      <c r="E7">
        <f>_xlfn.XLOOKUP(A7,Productos[nombre],Productos[stock],"")</f>
        <v>10</v>
      </c>
    </row>
    <row r="8" spans="1:7" x14ac:dyDescent="0.35">
      <c r="C8" t="str">
        <f>_xlfn.XLOOKUP(A8,Productos[nombre],Productos[precio],"")</f>
        <v/>
      </c>
      <c r="D8" t="e">
        <f t="shared" ref="D8:D26" si="0">B8*C8</f>
        <v>#VALUE!</v>
      </c>
      <c r="E8" t="str">
        <f>_xlfn.XLOOKUP(A8,Productos[nombre],Productos[stock],"")</f>
        <v/>
      </c>
    </row>
    <row r="9" spans="1:7" x14ac:dyDescent="0.35">
      <c r="C9" t="str">
        <f>_xlfn.XLOOKUP(A9,Productos[nombre],Productos[precio],"")</f>
        <v/>
      </c>
      <c r="D9" t="e">
        <f t="shared" si="0"/>
        <v>#VALUE!</v>
      </c>
      <c r="E9" t="str">
        <f>_xlfn.XLOOKUP(A9,Productos[nombre],Productos[stock],"")</f>
        <v/>
      </c>
    </row>
    <row r="10" spans="1:7" x14ac:dyDescent="0.35">
      <c r="C10" t="str">
        <f>_xlfn.XLOOKUP(A10,Productos[nombre],Productos[precio],"")</f>
        <v/>
      </c>
      <c r="D10" t="e">
        <f t="shared" si="0"/>
        <v>#VALUE!</v>
      </c>
      <c r="E10" t="str">
        <f>_xlfn.XLOOKUP(A10,Productos[nombre],Productos[stock],"")</f>
        <v/>
      </c>
    </row>
    <row r="11" spans="1:7" x14ac:dyDescent="0.35">
      <c r="C11" t="str">
        <f>_xlfn.XLOOKUP(A11,Productos[nombre],Productos[precio],"")</f>
        <v/>
      </c>
      <c r="D11" t="e">
        <f t="shared" si="0"/>
        <v>#VALUE!</v>
      </c>
      <c r="E11" t="str">
        <f>_xlfn.XLOOKUP(A11,Productos[nombre],Productos[stock],"")</f>
        <v/>
      </c>
    </row>
    <row r="12" spans="1:7" x14ac:dyDescent="0.35">
      <c r="C12" t="str">
        <f>_xlfn.XLOOKUP(A12,Productos[nombre],Productos[precio],"")</f>
        <v/>
      </c>
      <c r="D12" t="e">
        <f t="shared" si="0"/>
        <v>#VALUE!</v>
      </c>
      <c r="E12" t="str">
        <f>_xlfn.XLOOKUP(A12,Productos[nombre],Productos[stock],"")</f>
        <v/>
      </c>
    </row>
    <row r="13" spans="1:7" x14ac:dyDescent="0.35">
      <c r="C13" t="str">
        <f>_xlfn.XLOOKUP(A13,Productos[nombre],Productos[precio],"")</f>
        <v/>
      </c>
      <c r="D13" t="e">
        <f t="shared" si="0"/>
        <v>#VALUE!</v>
      </c>
      <c r="E13" t="str">
        <f>_xlfn.XLOOKUP(A13,Productos[nombre],Productos[stock],"")</f>
        <v/>
      </c>
    </row>
    <row r="14" spans="1:7" x14ac:dyDescent="0.35">
      <c r="C14" t="str">
        <f>_xlfn.XLOOKUP(A14,Productos[nombre],Productos[precio],"")</f>
        <v/>
      </c>
      <c r="D14" t="e">
        <f t="shared" si="0"/>
        <v>#VALUE!</v>
      </c>
      <c r="E14" t="str">
        <f>_xlfn.XLOOKUP(A14,Productos[nombre],Productos[stock],"")</f>
        <v/>
      </c>
      <c r="G14" s="2"/>
    </row>
    <row r="15" spans="1:7" x14ac:dyDescent="0.35">
      <c r="C15" t="str">
        <f>_xlfn.XLOOKUP(A15,Productos[nombre],Productos[precio],"")</f>
        <v/>
      </c>
      <c r="D15" t="e">
        <f t="shared" si="0"/>
        <v>#VALUE!</v>
      </c>
      <c r="E15" t="str">
        <f>_xlfn.XLOOKUP(A15,Productos[nombre],Productos[stock],"")</f>
        <v/>
      </c>
    </row>
    <row r="16" spans="1:7" x14ac:dyDescent="0.35">
      <c r="C16" t="str">
        <f>_xlfn.XLOOKUP(A16,Productos[nombre],Productos[precio],"")</f>
        <v/>
      </c>
      <c r="D16" t="e">
        <f t="shared" si="0"/>
        <v>#VALUE!</v>
      </c>
      <c r="E16" t="str">
        <f>_xlfn.XLOOKUP(A16,Productos[nombre],Productos[stock],"")</f>
        <v/>
      </c>
    </row>
    <row r="17" spans="3:5" x14ac:dyDescent="0.35">
      <c r="C17" t="str">
        <f>_xlfn.XLOOKUP(A17,Productos[nombre],Productos[precio],"")</f>
        <v/>
      </c>
      <c r="D17" t="e">
        <f t="shared" si="0"/>
        <v>#VALUE!</v>
      </c>
      <c r="E17" t="str">
        <f>_xlfn.XLOOKUP(A17,Productos[nombre],Productos[stock],"")</f>
        <v/>
      </c>
    </row>
    <row r="18" spans="3:5" x14ac:dyDescent="0.35">
      <c r="C18" t="str">
        <f>_xlfn.XLOOKUP(A18,Productos[nombre],Productos[precio],"")</f>
        <v/>
      </c>
      <c r="D18" t="e">
        <f t="shared" si="0"/>
        <v>#VALUE!</v>
      </c>
      <c r="E18" t="str">
        <f>_xlfn.XLOOKUP(A18,Productos[nombre],Productos[stock],"")</f>
        <v/>
      </c>
    </row>
    <row r="19" spans="3:5" x14ac:dyDescent="0.35">
      <c r="C19" t="str">
        <f>_xlfn.XLOOKUP(A19,Productos[nombre],Productos[precio],"")</f>
        <v/>
      </c>
      <c r="D19" t="e">
        <f t="shared" si="0"/>
        <v>#VALUE!</v>
      </c>
      <c r="E19" t="str">
        <f>_xlfn.XLOOKUP(A19,Productos[nombre],Productos[stock],"")</f>
        <v/>
      </c>
    </row>
    <row r="20" spans="3:5" x14ac:dyDescent="0.35">
      <c r="C20" t="str">
        <f>_xlfn.XLOOKUP(A20,Productos[nombre],Productos[precio],"")</f>
        <v/>
      </c>
      <c r="D20" t="e">
        <f t="shared" si="0"/>
        <v>#VALUE!</v>
      </c>
      <c r="E20" t="str">
        <f>_xlfn.XLOOKUP(A20,Productos[nombre],Productos[stock],"")</f>
        <v/>
      </c>
    </row>
    <row r="21" spans="3:5" x14ac:dyDescent="0.35">
      <c r="C21" t="str">
        <f>_xlfn.XLOOKUP(A21,Productos[nombre],Productos[precio],"")</f>
        <v/>
      </c>
      <c r="D21" t="e">
        <f t="shared" si="0"/>
        <v>#VALUE!</v>
      </c>
      <c r="E21" t="str">
        <f>_xlfn.XLOOKUP(A21,Productos[nombre],Productos[stock],"")</f>
        <v/>
      </c>
    </row>
    <row r="22" spans="3:5" x14ac:dyDescent="0.35">
      <c r="C22" t="str">
        <f>_xlfn.XLOOKUP(A22,Productos[nombre],Productos[precio],"")</f>
        <v/>
      </c>
      <c r="D22" t="e">
        <f t="shared" si="0"/>
        <v>#VALUE!</v>
      </c>
      <c r="E22" t="str">
        <f>_xlfn.XLOOKUP(A22,Productos[nombre],Productos[stock],"")</f>
        <v/>
      </c>
    </row>
    <row r="23" spans="3:5" x14ac:dyDescent="0.35">
      <c r="C23" t="str">
        <f>_xlfn.XLOOKUP(A23,Productos[nombre],Productos[precio],"")</f>
        <v/>
      </c>
      <c r="D23" t="e">
        <f t="shared" si="0"/>
        <v>#VALUE!</v>
      </c>
      <c r="E23" t="str">
        <f>_xlfn.XLOOKUP(A23,Productos[nombre],Productos[stock],"")</f>
        <v/>
      </c>
    </row>
    <row r="24" spans="3:5" x14ac:dyDescent="0.35">
      <c r="C24" t="str">
        <f>_xlfn.XLOOKUP(A24,Productos[nombre],Productos[precio],"")</f>
        <v/>
      </c>
      <c r="D24" t="e">
        <f t="shared" si="0"/>
        <v>#VALUE!</v>
      </c>
      <c r="E24" t="str">
        <f>_xlfn.XLOOKUP(A24,Productos[nombre],Productos[stock],"")</f>
        <v/>
      </c>
    </row>
    <row r="25" spans="3:5" x14ac:dyDescent="0.35">
      <c r="C25" t="str">
        <f>_xlfn.XLOOKUP(A25,Productos[nombre],Productos[precio],"")</f>
        <v/>
      </c>
      <c r="D25" t="e">
        <f t="shared" si="0"/>
        <v>#VALUE!</v>
      </c>
      <c r="E25" t="str">
        <f>_xlfn.XLOOKUP(A25,Productos[nombre],Productos[stock],"")</f>
        <v/>
      </c>
    </row>
    <row r="26" spans="3:5" x14ac:dyDescent="0.35">
      <c r="C26" t="str">
        <f>_xlfn.XLOOKUP(A26,Productos[nombre],Productos[precio],"")</f>
        <v/>
      </c>
      <c r="D26" t="e">
        <f t="shared" si="0"/>
        <v>#VALUE!</v>
      </c>
    </row>
  </sheetData>
  <dataValidations count="3">
    <dataValidation type="list" allowBlank="1" showInputMessage="1" showErrorMessage="1" sqref="B3" xr:uid="{42AA526C-8964-4650-BBAC-D54F295BAA46}">
      <formula1>ListaClientes</formula1>
    </dataValidation>
    <dataValidation type="list" allowBlank="1" showInputMessage="1" showErrorMessage="1" sqref="A6:A26" xr:uid="{E960954D-079F-4277-8C09-84BBA9552A35}">
      <formula1>ListaProductos</formula1>
    </dataValidation>
    <dataValidation type="custom" operator="greaterThan" allowBlank="1" showInputMessage="1" showErrorMessage="1" sqref="B6:B26" xr:uid="{BFC665DA-7AAD-4F57-A25E-079B8A92F07E}">
      <formula1>AND(B6&gt;=1,B6&lt;=E6)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FAC4F-9A58-49B2-9FEA-5730EA6DC200}">
  <sheetPr codeName="Hoja4"/>
  <dimension ref="A1:D2"/>
  <sheetViews>
    <sheetView workbookViewId="0">
      <selection activeCell="B2" sqref="B2"/>
    </sheetView>
  </sheetViews>
  <sheetFormatPr baseColWidth="10" defaultRowHeight="14.5" x14ac:dyDescent="0.35"/>
  <cols>
    <col min="1" max="1" width="10.1796875" bestFit="1" customWidth="1"/>
    <col min="2" max="2" width="11.36328125" bestFit="1" customWidth="1"/>
    <col min="3" max="3" width="14" bestFit="1" customWidth="1"/>
    <col min="4" max="4" width="6.90625" bestFit="1" customWidth="1"/>
  </cols>
  <sheetData>
    <row r="1" spans="1:4" x14ac:dyDescent="0.35">
      <c r="A1" t="s">
        <v>29</v>
      </c>
      <c r="B1" t="s">
        <v>0</v>
      </c>
      <c r="C1" t="s">
        <v>30</v>
      </c>
      <c r="D1" t="s">
        <v>31</v>
      </c>
    </row>
    <row r="2" spans="1:4" x14ac:dyDescent="0.35">
      <c r="A2">
        <v>1</v>
      </c>
      <c r="B2">
        <v>1</v>
      </c>
      <c r="C2" s="1">
        <v>46287.684899178239</v>
      </c>
      <c r="D2">
        <v>3850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9B4A2A-0B67-4B40-8CD4-1851CABD7E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clientes</vt:lpstr>
      <vt:lpstr>productos</vt:lpstr>
      <vt:lpstr>detalle_venta</vt:lpstr>
      <vt:lpstr>Nueva Venta</vt:lpstr>
      <vt:lpstr>Ventas</vt:lpstr>
      <vt:lpstr>ListaClientes</vt:lpstr>
      <vt:lpstr>ListaProductos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Fortuna</dc:creator>
  <cp:lastModifiedBy>Edgar Fortuna</cp:lastModifiedBy>
  <cp:lastPrinted>2026-09-22T19:58:10Z</cp:lastPrinted>
  <dcterms:created xsi:type="dcterms:W3CDTF">2026-09-22T14:52:31Z</dcterms:created>
  <dcterms:modified xsi:type="dcterms:W3CDTF">2026-09-25T23:21:27Z</dcterms:modified>
</cp:coreProperties>
</file>